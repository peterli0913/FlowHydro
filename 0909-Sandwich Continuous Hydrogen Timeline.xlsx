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activeTab="2" xr2:uid="{752BAC88-3D22-6345-9E5D-6A586CA68B77}"/>
  </bookViews>
  <sheets>
    <sheet name="设备投资概算评估 (集团内部-Sandwich)" sheetId="1" r:id="rId1" state="hidden"/>
    <sheet name="反馈认证费用" sheetId="2" r:id="rId2" state="hidden"/>
    <sheet name="Timeline 0907" sheetId="3" r:id="rId3"/>
    <sheet name="Timeline 0825" sheetId="4" r:id="rId4"/>
    <sheet name="Timeline 0812" sheetId="5" r:id="rId5"/>
    <sheet name="Timeline 0729" sheetId="6" r:id="rId6"/>
    <sheet name="Timeline 0715" sheetId="7" r:id="rId7"/>
    <sheet name="Timeline0701 " sheetId="8" r:id="rId8"/>
    <sheet name="Timeline (old)" sheetId="9" r:id="rId9"/>
  </sheets>
  <calcPr calcId="0" refMode="R1C1"/>
</workbook>
</file>

<file path=xl/sharedStrings.xml><?xml version="1.0" encoding="utf-8"?>
<sst xmlns="http://schemas.openxmlformats.org/spreadsheetml/2006/main">
  <si>
    <t>连续生产设备清单
 Flow Production Equipment List</t>
  </si>
  <si>
    <t>投资明细
Investment details</t>
  </si>
  <si>
    <t>序号
No.</t>
  </si>
  <si>
    <t>类别
Classification</t>
  </si>
  <si>
    <t>设备
Equipment</t>
  </si>
  <si>
    <t>规格型号
Specifications &amp; Models</t>
  </si>
  <si>
    <t>数量
Number</t>
  </si>
  <si>
    <t>单位
Unit</t>
  </si>
  <si>
    <t>用途
Use</t>
  </si>
  <si>
    <t>备注
Notes</t>
  </si>
  <si>
    <t>设备单价
Unit price</t>
  </si>
  <si>
    <t>认证
Certification</t>
  </si>
  <si>
    <t>合计费用
Total cost</t>
  </si>
  <si>
    <t>说明</t>
  </si>
  <si>
    <t>连续主设备
Continuous reaction main equipment</t>
  </si>
  <si>
    <t>原料缓冲罐
Buffer Supply Tank</t>
  </si>
  <si>
    <r>
      <rPr>
        <color rgb="FF000000"/>
        <rFont val="微软雅黑"/>
        <sz val="10"/>
      </rPr>
      <t xml:space="preserve">立式储罐，体积：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，与物料接触材质：316L，工作压力：常压
Vertical storage tank, volume: </t>
    </r>
    <r>
      <rPr>
        <color rgb="FF0070C0"/>
        <rFont val="微软雅黑"/>
        <sz val="10"/>
      </rPr>
      <t xml:space="preserve">220</t>
    </r>
    <r>
      <rPr>
        <color rgb="FF000000"/>
        <rFont val="微软雅黑"/>
        <sz val="10"/>
      </rPr>
      <t xml:space="preserve">L, material in contact with material: 316L, working pressure: atmospheric pressure</t>
    </r>
  </si>
  <si>
    <t>台</t>
  </si>
  <si>
    <t>原料缓冲
Raw material buffering</t>
  </si>
  <si>
    <t>N/A</t>
  </si>
  <si>
    <t>供应商报价</t>
  </si>
  <si>
    <r>
      <rPr>
        <color rgb="FF000000"/>
        <rFont val="微软雅黑"/>
        <sz val="10"/>
      </rPr>
      <t xml:space="preserve">立式储罐，体积：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，与物料接触材质：316L，工作压力：常压
Vertical storage tank, volume: 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, material in contact with material: 316L, working pressure: atmospheric pressure</t>
    </r>
  </si>
  <si>
    <t>氢气缓冲罐
H2 Buffer Tank</t>
  </si>
  <si>
    <t>立式储罐，体积：10L，与物料接触材质：316L，工作压力：6MPa
Vertical storage tank, volume: 10L, material in contact with material: 316L, working pressure: 6MPa</t>
  </si>
  <si>
    <t>氢气缓冲
Hydrogen buffering</t>
  </si>
  <si>
    <t>反应柱01
Continuous Reactor
 Column 01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</si>
  <si>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5.1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0.27</t>
    </r>
    <r>
      <rPr>
        <color rgb="FF000000"/>
        <rFont val="微软雅黑"/>
        <sz val="10"/>
      </rPr>
      <t xml:space="preserve">㎡，与物料接触材质：316L
Vertical reaction column, volume </t>
    </r>
    <r>
      <rPr>
        <color rgb="FF0070C0"/>
        <rFont val="微软雅黑"/>
        <sz val="10"/>
      </rPr>
      <t xml:space="preserve">5.1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0.27</t>
    </r>
    <r>
      <rPr>
        <color rgb="FF000000"/>
        <rFont val="微软雅黑"/>
        <sz val="10"/>
      </rPr>
      <t xml:space="preserve"> ㎡, material in contact with material: 316L</t>
    </r>
  </si>
  <si>
    <t>原料反应
Raw material reaction</t>
  </si>
  <si>
    <t>DN80</t>
  </si>
  <si>
    <t>反应柱02
Continuous Reactor
 Column 02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</si>
  <si>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㎡，与物料接触材质：316L
Vertical reaction column, volume 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 ㎡, material in contact with material: 316L</t>
    </r>
  </si>
  <si>
    <t>DN65</t>
  </si>
  <si>
    <t>反应柱03
Continuous Reactor
 Column 03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</si>
  <si>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㎡，与物料接触材质：316L
Vertical reaction column, volume</t>
    </r>
    <r>
      <rPr>
        <color rgb="FF0070C0"/>
        <rFont val="微软雅黑"/>
        <sz val="10"/>
      </rPr>
      <t xml:space="preserve"> 3.5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 ㎡, material in contact with material: 316L</t>
    </r>
  </si>
  <si>
    <t>预热器
Pre-heater</t>
  </si>
  <si>
    <t>换热器，换热面积：1.5㎡，与物料接触材质：316L
Heat exchanger, heat exchange area: 1.5 ㎡, material in contact with material: 316L</t>
  </si>
  <si>
    <t>原料预热
Preheating of raw materials</t>
  </si>
  <si>
    <t>冷凝器
Condenser</t>
  </si>
  <si>
    <t>换热器，换热面积：1.2㎡，与物料接触材质：316L
Heat exchanger, heat exchange area: 1.2 ㎡, material in contact with material: 316L</t>
  </si>
  <si>
    <t>反应后冷凝
Condensation after reaction</t>
  </si>
  <si>
    <t>气液分离器
Separator</t>
  </si>
  <si>
    <t>体积：20L，与物料接触材质：316L
Volume: 20L, material in contact with material: 316L</t>
  </si>
  <si>
    <t>分液
Liquid separation</t>
  </si>
  <si>
    <t>产品缓冲罐
Product
 Buffer Tank</t>
  </si>
  <si>
    <t>体系缓冲
System buffering</t>
  </si>
  <si>
    <t>设备CE 认证
Equipment CE certification</t>
  </si>
  <si>
    <t>项</t>
  </si>
  <si>
    <t>10台主设备CE认证
Main equipment CE certification</t>
  </si>
  <si>
    <t>材料EN 认证
Material EN certification</t>
  </si>
  <si>
    <t>10台主设备EN认证
Main equipment EN certification</t>
  </si>
  <si>
    <t>单项合计：</t>
  </si>
  <si>
    <t>辅助设备
Continuous reaction auxiliary equipment</t>
  </si>
  <si>
    <t>计量泵
Metering Pump</t>
  </si>
  <si>
    <t>液压隔膜泵，量程：40L/h，与物料接触材质：316L，单泵头，排出压力：8.0MPa
Hydraulic Diaphragm Pump, range: 40L/h, Material in contact with materials: 316L, Three pump heads, Discharge pressure：8.0MPa.</t>
  </si>
  <si>
    <t>进料，流速40L/h
feeding pump,40L/h.</t>
  </si>
  <si>
    <t>进口品牌，自带IECE认证，英文资料</t>
  </si>
  <si>
    <r>
      <rPr>
        <color rgb="FF000000"/>
        <rFont val="微软雅黑"/>
        <sz val="10"/>
      </rPr>
      <t xml:space="preserve">液压隔膜泵，量程：</t>
    </r>
    <r>
      <rPr>
        <color rgb="FF0070C0"/>
        <rFont val="微软雅黑"/>
        <sz val="10"/>
      </rPr>
      <t xml:space="preserve">0~1</t>
    </r>
    <r>
      <rPr>
        <color rgb="FF000000"/>
        <rFont val="微软雅黑"/>
        <sz val="10"/>
      </rPr>
      <t xml:space="preserve">m3/h，与物料接触材质：316L，排出压力：0.6MPa，扬程：20m
Hydraulic Diaphragm Pump, range: </t>
    </r>
    <r>
      <rPr>
        <color rgb="FF0070C0"/>
        <rFont val="微软雅黑"/>
        <sz val="10"/>
      </rPr>
      <t xml:space="preserve">0~1</t>
    </r>
    <r>
      <rPr>
        <color rgb="FF000000"/>
        <rFont val="微软雅黑"/>
        <sz val="10"/>
      </rPr>
      <t xml:space="preserve">m3/h, material in contact with material: 316L, discharge pressure: 0.6MPa, head: 20m</t>
    </r>
  </si>
  <si>
    <t>产品转移泵
Product transfer pump</t>
  </si>
  <si>
    <t>电气仪表和自控阀门
Electrical instruments and control valves</t>
  </si>
  <si>
    <t>质量流量计
Mass Flowmeter</t>
  </si>
  <si>
    <r>
      <rPr>
        <color rgb="FF000000"/>
        <rFont val="微软雅黑"/>
        <sz val="10"/>
      </rPr>
      <t xml:space="preserve">测量范围：0~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L/h，测量精度±0.5%，与物料接触材质：316L
Measuring range: 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L/h, Measuring accuracy: 0.5%, Material in contact with materials: 316L</t>
    </r>
  </si>
  <si>
    <t>流量计量
flow measure</t>
  </si>
  <si>
    <t>Raw Material</t>
  </si>
  <si>
    <t>进口品牌，自带CE认证</t>
  </si>
  <si>
    <t>质量流量计控制器
Mass Flow Controller</t>
  </si>
  <si>
    <r>
      <rPr>
        <color rgb="FF000000"/>
        <rFont val="微软雅黑"/>
        <sz val="10"/>
      </rPr>
      <t xml:space="preserve">测量范围：0-50L</t>
    </r>
    <r>
      <rPr>
        <color rgb="FF000000"/>
        <rFont val="微软雅黑"/>
        <sz val="10"/>
      </rPr>
      <t xml:space="preserve">/min，测量精度±0.5%，与物料接触材质：</t>
    </r>
    <r>
      <rPr>
        <color rgb="FF000000"/>
        <rFont val="微软雅黑"/>
        <sz val="10"/>
      </rPr>
      <t xml:space="preserve">316L</t>
    </r>
    <r>
      <rPr>
        <color rgb="FF000000"/>
        <rFont val="微软雅黑"/>
        <sz val="10"/>
      </rPr>
      <t xml:space="preserve">
Measuring range: </t>
    </r>
    <r>
      <rPr>
        <color rgb="FF000000"/>
        <rFont val="微软雅黑"/>
        <sz val="10"/>
      </rPr>
      <t xml:space="preserve">0-50L/min</t>
    </r>
    <r>
      <rPr>
        <color rgb="FF000000"/>
        <rFont val="微软雅黑"/>
        <sz val="10"/>
      </rPr>
      <t xml:space="preserve">, Measuring accuracy: 0.5%, Material in contact with materials: </t>
    </r>
    <r>
      <rPr>
        <color rgb="FF000000"/>
        <rFont val="微软雅黑"/>
        <sz val="10"/>
      </rPr>
      <t xml:space="preserve">316L</t>
    </r>
    <r>
      <rPr>
        <color rgb="FF000000"/>
        <rFont val="微软雅黑"/>
        <sz val="10"/>
      </rPr>
      <t xml:space="preserve">.</t>
    </r>
  </si>
  <si>
    <t>H2</t>
  </si>
  <si>
    <r>
      <rPr>
        <color rgb="FF000000"/>
        <rFont val="微软雅黑"/>
        <sz val="10"/>
      </rPr>
      <t xml:space="preserve">测量范围：0~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L/h，测量精度±0.5%，与物料接触材质：316L
Measuring range: 0~3L/h, Measuring accuracy: 0.5%, Material in contact with materials: 316L.</t>
    </r>
  </si>
  <si>
    <t>Produce</t>
  </si>
  <si>
    <t>金属转子流量计
metal rotor flowmeter</t>
  </si>
  <si>
    <r>
      <rPr>
        <color rgb="FF000000"/>
        <rFont val="微软雅黑"/>
        <sz val="10"/>
      </rPr>
      <t xml:space="preserve">测量范围：0~10L/min，测量精度： ±0.5%，与物料接触材质：316L，</t>
    </r>
    <r>
      <rPr>
        <color rgb="FF0070C0"/>
        <rFont val="微软雅黑"/>
        <sz val="10"/>
      </rPr>
      <t xml:space="preserve">介质：N2气体</t>
    </r>
    <r>
      <rPr>
        <color rgb="FF000000"/>
        <rFont val="微软雅黑"/>
        <sz val="10"/>
      </rPr>
      <t xml:space="preserve">
Measuring range: 1~10L/min, Measuring accuracy: 0.5%, Material in contact with materials: 316L.Medium: N2 gas</t>
    </r>
  </si>
  <si>
    <t>N2</t>
  </si>
  <si>
    <t>温度变送器
Temperature Transmitter</t>
  </si>
  <si>
    <r>
      <rPr>
        <color rgb="FF000000"/>
        <rFont val="微软雅黑"/>
        <sz val="10"/>
      </rPr>
      <t xml:space="preserve">测量范围：0~150</t>
    </r>
    <r>
      <rPr>
        <color rgb="FF000000"/>
        <rFont val="微软雅黑"/>
        <sz val="10"/>
      </rPr>
      <t xml:space="preserve">℃，测量精度±0.2%FS，</t>
    </r>
    <r>
      <rPr>
        <color rgb="FF000000"/>
        <rFont val="微软雅黑"/>
        <sz val="10"/>
      </rPr>
      <t xml:space="preserve">6mm</t>
    </r>
    <r>
      <rPr>
        <color rgb="FF000000"/>
        <rFont val="微软雅黑"/>
        <sz val="10"/>
      </rPr>
      <t xml:space="preserve">探头
Measuring range: 0~</t>
    </r>
    <r>
      <rPr>
        <color rgb="FF000000"/>
        <rFont val="微软雅黑"/>
        <sz val="10"/>
      </rPr>
      <t xml:space="preserve">150</t>
    </r>
    <r>
      <rPr>
        <color rgb="FF000000"/>
        <rFont val="微软雅黑"/>
        <sz val="10"/>
      </rPr>
      <t xml:space="preserve">℃,  Measuring accuracy ±0.2%FS, </t>
    </r>
    <r>
      <rPr>
        <color rgb="FF000000"/>
        <rFont val="微软雅黑"/>
        <sz val="10"/>
      </rPr>
      <t xml:space="preserve">6mm probe.</t>
    </r>
  </si>
  <si>
    <t>个</t>
  </si>
  <si>
    <t>温度检测
temperature measure</t>
  </si>
  <si>
    <t>H2、MTBE等</t>
  </si>
  <si>
    <t>测量范围：-20~+120℃，测量精度±0.2%FS，6mm探头
Measuring range: -20~+120℃,  Measuring accuracy ±0.2%FS, 6mm probe.</t>
  </si>
  <si>
    <t>HTF等</t>
  </si>
  <si>
    <t>压力变送器
Pressure Transmitter</t>
  </si>
  <si>
    <t>测量范围：0~8.0MPa，测量精度±0.5%，与物料接触材质：316L
Measuring range: 0~8.0MPa, Measuring accuracy: 0.5%, Material in contact with materials: 316L.</t>
  </si>
  <si>
    <t>压力检测
pressure measure</t>
  </si>
  <si>
    <t>液位计
 Liquid level measurment</t>
  </si>
  <si>
    <t>测量范围：0~1000mm（TBD），测量精度±1%，与物料接触材质：316L
Measuring range: 0~1000mm, Measuring accuracy: ±1%, Material in contact with materials: 316L</t>
  </si>
  <si>
    <t>液位测量
level measurement</t>
  </si>
  <si>
    <t>气动调节阀
Pneumatic control valve</t>
  </si>
  <si>
    <r>
      <rPr>
        <color rgb="FF000000"/>
        <rFont val="微软雅黑"/>
        <sz val="10"/>
      </rPr>
      <t xml:space="preserve">工作压力：0.4MPa，工作温度： 10~40</t>
    </r>
    <r>
      <rPr>
        <color rgb="FF000000"/>
        <rFont val="微软雅黑"/>
        <sz val="10"/>
      </rPr>
      <t xml:space="preserve">℃，防爆
Working pressure: 0.4MPa, working temperature: </t>
    </r>
    <r>
      <rPr>
        <color rgb="FF000000"/>
        <rFont val="微软雅黑"/>
        <sz val="10"/>
      </rPr>
      <t xml:space="preserve">10~40</t>
    </r>
    <r>
      <rPr>
        <color rgb="FF000000"/>
        <rFont val="微软雅黑"/>
        <sz val="10"/>
      </rPr>
      <t xml:space="preserve"> ℃,explosion-proof</t>
    </r>
  </si>
  <si>
    <t>流量调节
flow regulation</t>
  </si>
  <si>
    <t>气动开关阀
Pneumatic switching valve</t>
  </si>
  <si>
    <t>工作压力：0-8.0MPa，工作温度： -20~130 ℃，防爆
Working pressure: 0-8.0MPa, working temperature: -80~-70 ℃, explosion-proof</t>
  </si>
  <si>
    <t>开关控制
switch control</t>
  </si>
  <si>
    <t>控制系统
Control System</t>
  </si>
  <si>
    <t>控制系统（SCADA-现场防爆）
Control System</t>
  </si>
  <si>
    <r>
      <rPr>
        <color rgb="FF000000"/>
        <rFont val="微软雅黑"/>
        <sz val="10"/>
      </rPr>
      <t xml:space="preserve">防爆变频柜：内置3个变频器（2.2kw），I/O模块若干，满足欧洲防爆要求（ATEX）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Explosion proof frequency conversion cabinet: equipped with 2 frequency converters and several I/O modules, meeting European explosion-proof requirements (ATEX)</t>
    </r>
  </si>
  <si>
    <r>
      <rPr>
        <color rgb="FF000000"/>
        <rFont val="微软雅黑"/>
        <sz val="10"/>
      </rPr>
      <t xml:space="preserve">泵控制系统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Pump control System</t>
    </r>
  </si>
  <si>
    <t>西门子</t>
  </si>
  <si>
    <t>变频柜、PLC柜 合并，另外配置防爆操作站</t>
  </si>
  <si>
    <r>
      <rPr>
        <color rgb="FF000000"/>
        <rFont val="微软雅黑"/>
        <sz val="10"/>
      </rPr>
      <t xml:space="preserve">移动防爆操作站：内置工控机，PLC控制，显示器，WINCC客户端软件，UPS电源等，满足欧洲防爆要求（ATEX）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Mobile explosion-proof operation station: built-in industrial computer, PLC control, display, WINCC client software, UPS power supply, etc., meeting European explosion-proof requirements (ATEX)</t>
    </r>
  </si>
  <si>
    <r>
      <rPr>
        <color rgb="FF000000"/>
        <rFont val="微软雅黑"/>
        <sz val="10"/>
      </rPr>
      <t xml:space="preserve">控制系统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Control System</t>
    </r>
  </si>
  <si>
    <t>模块化组装
Modular assembly</t>
  </si>
  <si>
    <r>
      <rPr>
        <color rgb="FF000000"/>
        <rFont val="微软雅黑"/>
        <sz val="10"/>
      </rPr>
      <t xml:space="preserve">设备手阀、单向阀、安全阀、管路及保温、模块化框架及</t>
    </r>
    <r>
      <rPr>
        <color rgb="FF00B0F0"/>
        <rFont val="微软雅黑"/>
        <sz val="10"/>
      </rPr>
      <t xml:space="preserve">外部连接管线、步梯</t>
    </r>
    <r>
      <rPr>
        <color rgb="FF000000"/>
        <rFont val="微软雅黑"/>
        <sz val="10"/>
      </rPr>
      <t xml:space="preserve">
Equipment hand valves, one-way valves, safety valves, pipelines and insulation, modular frames, and electrical pipelines, external connection pipelines, steps，etc</t>
    </r>
  </si>
  <si>
    <t>内部加工</t>
  </si>
  <si>
    <t>CFCT预估</t>
  </si>
  <si>
    <r>
      <rPr>
        <color rgb="FF000000"/>
        <rFont val="微软雅黑"/>
        <sz val="10"/>
      </rPr>
      <t xml:space="preserve">仪表电气安装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E&amp;I Installation</t>
    </r>
  </si>
  <si>
    <r>
      <rPr>
        <color rgb="FF000000"/>
        <rFont val="微软雅黑"/>
        <sz val="10"/>
      </rPr>
      <t xml:space="preserve">自控仪表、自控阀门、变频器撬装内安装、接线、测试。含撬装内部电缆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Installation and locally test for control instruments、valves、VFD pumps，internal control cables included</t>
    </r>
  </si>
  <si>
    <t>国内电气仪表组装部分。尽可能预制大部分电缆，减少Sandwich部分电缆工作量</t>
  </si>
  <si>
    <t>CE认证 
CE certification</t>
  </si>
  <si>
    <r>
      <rPr>
        <color rgb="FF000000"/>
        <rFont val="微软雅黑"/>
        <sz val="10"/>
      </rPr>
      <t xml:space="preserve">MD</t>
    </r>
    <r>
      <rPr>
        <color rgb="FF000000"/>
        <rFont val="微软雅黑"/>
        <sz val="10"/>
      </rPr>
      <t xml:space="preserve">认证
</t>
    </r>
    <r>
      <rPr>
        <color rgb="FF000000"/>
        <rFont val="微软雅黑"/>
        <sz val="10"/>
      </rPr>
      <t xml:space="preserve">MD</t>
    </r>
    <r>
      <rPr>
        <color rgb="FF000000"/>
        <rFont val="微软雅黑"/>
        <sz val="10"/>
      </rPr>
      <t xml:space="preserve">certification</t>
    </r>
  </si>
  <si>
    <r>
      <rPr>
        <color rgb="FF000000"/>
        <rFont val="微软雅黑"/>
        <sz val="10"/>
      </rPr>
      <t xml:space="preserve">Asymchem整撬认证，机械指令MD2006/42/EC
</t>
    </r>
    <r>
      <rPr>
        <color rgb="FF000000"/>
        <rFont val="微软雅黑"/>
        <sz val="10"/>
      </rPr>
      <t xml:space="preserve">Asymchem whole pry certification, Machinery Directive MD2006/42/EC</t>
    </r>
  </si>
  <si>
    <t>供应商诚信报价</t>
  </si>
  <si>
    <t>ATEX认证
ATEX certification</t>
  </si>
  <si>
    <t>基于防爆区域为1区的前提下，器件都满足CE认证的情况下，防爆指令ATEX2014/34/EU检查评估（文件接收型认证）
Based on the premise that the explosion-proof area is Zone 1 and all devices meet CE certification, the explosion-proof directive ATEX2014/34/EU inspection and evaluation (document receiving certification)</t>
  </si>
  <si>
    <t>税费
taxation</t>
  </si>
  <si>
    <t>技术服务协议按照6%收税
The technical service agreement is taxed at 6%</t>
  </si>
  <si>
    <t>设备出口安装
Equipment export and installation</t>
  </si>
  <si>
    <t>手续办理
Procedure handling</t>
  </si>
  <si>
    <t>设备出口相关手续的办理
Handling of equipment export related procedures</t>
  </si>
  <si>
    <t>请进出口部门协助评估？</t>
  </si>
  <si>
    <t xml:space="preserve">货物运输
Freight transportation </t>
  </si>
  <si>
    <t>货物运输至海外工厂
Transport of goods to overseas factories</t>
  </si>
  <si>
    <t>CFCT预估，请进出口部门协助核算</t>
  </si>
  <si>
    <t xml:space="preserve">设备安装
Equipment installation </t>
  </si>
  <si>
    <t>海外工厂设备安装
Overseas factory equipment installation</t>
  </si>
  <si>
    <t>总费用合计：</t>
  </si>
  <si>
    <t>折合美元：</t>
  </si>
  <si>
    <t>折合英镑：</t>
  </si>
  <si>
    <t>认证流程图</t>
  </si>
  <si>
    <t>序号</t>
  </si>
  <si>
    <t>设备名称</t>
  </si>
  <si>
    <t>服务指令</t>
  </si>
  <si>
    <t>报价万元</t>
  </si>
  <si>
    <t>ASYMCHEM整撬</t>
  </si>
  <si>
    <t>机械指令MD2006/42/EC</t>
  </si>
  <si>
    <t>防爆指令ATEX2014/34/EU检查评估（文件接收型认证）</t>
  </si>
  <si>
    <t>note:</t>
  </si>
  <si>
    <t>1.本报价基于防爆区域为2区的前提下，器件都满足CE认证的情况下。</t>
  </si>
  <si>
    <t>认证资料</t>
  </si>
  <si>
    <r>
      <rPr>
        <color rgb="FF000000"/>
        <rFont val="Arial"/>
        <sz val="10"/>
      </rPr>
      <t xml:space="preserve">0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申请表：我司提供模板并指导填写；</t>
    </r>
  </si>
  <si>
    <r>
      <rPr>
        <color rgb="FF000000"/>
        <rFont val="Arial"/>
        <sz val="10"/>
      </rPr>
      <t xml:space="preserve">1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产品功能描述：我司提供模板并指导填写；</t>
    </r>
  </si>
  <si>
    <r>
      <rPr>
        <color rgb="FF000000"/>
        <rFont val="Arial"/>
        <sz val="10"/>
      </rPr>
      <t xml:space="preserve">2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机械规格表：我司提供模板并指导填写；</t>
    </r>
  </si>
  <si>
    <r>
      <rPr>
        <color rgb="FF000000"/>
        <rFont val="Arial"/>
        <sz val="10"/>
      </rPr>
      <t xml:space="preserve">3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图纸：</t>
    </r>
  </si>
  <si>
    <r>
      <rPr>
        <color rgb="FF000000"/>
        <rFont val="Arial"/>
        <sz val="10"/>
      </rPr>
      <t xml:space="preserve">3.1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机械外观尺寸图：</t>
    </r>
  </si>
  <si>
    <r>
      <rPr>
        <color rgb="FF000000"/>
        <rFont val="Arial"/>
        <sz val="10"/>
      </rPr>
      <t xml:space="preserve">3.2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机械主要部件图：</t>
    </r>
  </si>
  <si>
    <r>
      <rPr>
        <color rgb="FF000000"/>
        <rFont val="Arial"/>
        <sz val="10"/>
      </rPr>
      <t xml:space="preserve">3.3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机械安全装置及分布图：</t>
    </r>
  </si>
  <si>
    <r>
      <rPr>
        <color rgb="FF000000"/>
        <rFont val="Arial"/>
        <sz val="10"/>
      </rPr>
      <t xml:space="preserve">3.4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设备铭牌图：</t>
    </r>
  </si>
  <si>
    <r>
      <rPr>
        <color rgb="FF000000"/>
        <rFont val="Arial"/>
        <sz val="10"/>
      </rPr>
      <t xml:space="preserve">3.5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电气原理图：</t>
    </r>
  </si>
  <si>
    <r>
      <rPr>
        <color rgb="FF000000"/>
        <rFont val="Arial"/>
        <sz val="10"/>
      </rPr>
      <t xml:space="preserve">3.6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气动原理图：</t>
    </r>
  </si>
  <si>
    <r>
      <rPr>
        <color rgb="FF000000"/>
        <rFont val="Arial"/>
        <sz val="10"/>
      </rPr>
      <t xml:space="preserve">3.7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液压原理图：</t>
    </r>
  </si>
  <si>
    <r>
      <rPr>
        <color rgb="FF000000"/>
        <rFont val="Arial"/>
        <sz val="10"/>
      </rPr>
      <t xml:space="preserve">3.8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机身标识及其分布图；</t>
    </r>
  </si>
  <si>
    <r>
      <rPr>
        <color rgb="FF000000"/>
        <rFont val="Arial"/>
        <sz val="10"/>
      </rPr>
      <t xml:space="preserve">3.9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操作位置示意图；</t>
    </r>
  </si>
  <si>
    <r>
      <rPr>
        <color rgb="FF000000"/>
        <rFont val="Arial"/>
        <sz val="10"/>
      </rPr>
      <t xml:space="preserve">3.10</t>
    </r>
    <r>
      <rPr>
        <color rgb="FF000000"/>
        <rFont val="Times New Roman"/>
        <sz val="7"/>
      </rPr>
      <t xml:space="preserve">     </t>
    </r>
    <r>
      <rPr>
        <color rgb="FF000000"/>
        <rFont val="宋体"/>
        <sz val="10"/>
      </rPr>
      <t xml:space="preserve">搬运吊装示意图；</t>
    </r>
  </si>
  <si>
    <r>
      <rPr>
        <color rgb="FF000000"/>
        <rFont val="Arial"/>
        <sz val="10"/>
      </rPr>
      <t xml:space="preserve">3.11</t>
    </r>
    <r>
      <rPr>
        <color rgb="FF000000"/>
        <rFont val="Times New Roman"/>
        <sz val="7"/>
      </rPr>
      <t xml:space="preserve">     </t>
    </r>
    <r>
      <rPr>
        <color rgb="FF000000"/>
        <rFont val="宋体"/>
        <sz val="10"/>
      </rPr>
      <t xml:space="preserve">防爆分区图；</t>
    </r>
  </si>
  <si>
    <r>
      <rPr>
        <color rgb="FF000000"/>
        <rFont val="Arial"/>
        <sz val="10"/>
      </rPr>
      <t xml:space="preserve">4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零部件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</t>
    </r>
  </si>
  <si>
    <r>
      <rPr>
        <color rgb="FF000000"/>
        <rFont val="Arial"/>
        <sz val="10"/>
      </rPr>
      <t xml:space="preserve">4.1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机械部件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</si>
  <si>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</si>
  <si>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气动组件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</si>
  <si>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4.4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液压组件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</si>
  <si>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4.5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防爆组件</t>
    </r>
    <r>
      <rPr>
        <color rgb="FF000000"/>
        <rFont val="Arial"/>
        <sz val="10"/>
      </rPr>
      <t xml:space="preserve">CE-ATEX</t>
    </r>
    <r>
      <rPr>
        <color rgb="FF000000"/>
        <rFont val="宋体"/>
        <sz val="10"/>
      </rPr>
      <t xml:space="preserve">证书（并附上组件表）；</t>
    </r>
  </si>
  <si>
    <r>
      <rPr>
        <color rgb="FF000000"/>
        <rFont val="Arial"/>
        <sz val="10"/>
      </rPr>
      <t xml:space="preserve">5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安全设计计算</t>
    </r>
  </si>
  <si>
    <r>
      <rPr>
        <color rgb="FF000000"/>
        <rFont val="Arial"/>
        <sz val="10"/>
      </rPr>
      <t xml:space="preserve">5.1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电气安全回路可靠性能等级计算</t>
    </r>
  </si>
  <si>
    <r>
      <rPr>
        <color rgb="FF000000"/>
        <rFont val="Arial"/>
        <sz val="10"/>
      </rPr>
      <t xml:space="preserve">5.2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机械安全设计计算书；</t>
    </r>
  </si>
  <si>
    <r>
      <rPr>
        <color rgb="FF000000"/>
        <rFont val="Arial"/>
        <sz val="10"/>
      </rPr>
      <t xml:space="preserve">5.3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防爆结构设计校核书（如有必要）；</t>
    </r>
  </si>
  <si>
    <r>
      <rPr>
        <color rgb="FF000000"/>
        <rFont val="Arial"/>
        <sz val="10"/>
      </rPr>
      <t xml:space="preserve">6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材质证明、测试报告：第</t>
    </r>
    <r>
      <rPr>
        <color rgb="FF000000"/>
        <rFont val="Arial"/>
        <sz val="10"/>
      </rPr>
      <t xml:space="preserve">5.2</t>
    </r>
    <r>
      <rPr>
        <color rgb="FF000000"/>
        <rFont val="宋体"/>
        <sz val="10"/>
      </rPr>
      <t xml:space="preserve">条的计算中涉及到的数据文件；</t>
    </r>
  </si>
  <si>
    <r>
      <rPr>
        <color rgb="FF000000"/>
        <rFont val="Arial"/>
        <sz val="10"/>
      </rPr>
      <t xml:space="preserve">7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安全相关部件数据表：第</t>
    </r>
    <r>
      <rPr>
        <color rgb="FF000000"/>
        <rFont val="Arial"/>
        <sz val="10"/>
      </rPr>
      <t xml:space="preserve">5.1</t>
    </r>
    <r>
      <rPr>
        <color rgb="FF000000"/>
        <rFont val="宋体"/>
        <sz val="10"/>
      </rPr>
      <t xml:space="preserve">条的计算中涉及到的数据文件；</t>
    </r>
  </si>
  <si>
    <r>
      <rPr>
        <color rgb="FF000000"/>
        <rFont val="Arial"/>
        <sz val="10"/>
      </rPr>
      <t xml:space="preserve">8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设备说明书；</t>
    </r>
  </si>
  <si>
    <r>
      <rPr>
        <color rgb="FF000000"/>
        <rFont val="Arial"/>
        <sz val="10"/>
      </rPr>
      <t xml:space="preserve">9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风险分析报告：我司提供模板并指导填写；</t>
    </r>
  </si>
  <si>
    <r>
      <rPr>
        <color rgb="FF000000"/>
        <rFont val="Arial"/>
        <sz val="10"/>
      </rPr>
      <t xml:space="preserve">10</t>
    </r>
    <r>
      <rPr>
        <color rgb="FF000000"/>
        <rFont val="Times New Roman"/>
        <sz val="7"/>
      </rPr>
      <t xml:space="preserve">      </t>
    </r>
    <r>
      <rPr>
        <color rgb="FF000000"/>
        <rFont val="宋体"/>
        <sz val="10"/>
      </rPr>
      <t xml:space="preserve">质量管理体系证书：</t>
    </r>
    <r>
      <rPr>
        <color rgb="FF000000"/>
        <rFont val="Arial"/>
        <sz val="10"/>
      </rPr>
      <t xml:space="preserve">ISO 9001</t>
    </r>
  </si>
  <si>
    <r>
      <rPr>
        <color rgb="FF000000"/>
        <rFont val="Arial"/>
        <sz val="10"/>
      </rPr>
      <t xml:space="preserve">11</t>
    </r>
    <r>
      <rPr>
        <color rgb="FF000000"/>
        <rFont val="Times New Roman"/>
        <sz val="7"/>
      </rPr>
      <t xml:space="preserve">      </t>
    </r>
    <r>
      <rPr>
        <color rgb="FF000000"/>
        <rFont val="宋体"/>
        <sz val="10"/>
      </rPr>
      <t xml:space="preserve">一致性声明：我司提供模板并指导填写；</t>
    </r>
  </si>
  <si>
    <t>备注：</t>
  </si>
  <si>
    <r>
      <rPr>
        <color rgb="FF000000"/>
        <rFont val="Arial"/>
        <sz val="10"/>
      </rPr>
      <t xml:space="preserve">-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以上所有资料均应提供英文（可以为中英文对照）</t>
    </r>
  </si>
  <si>
    <r>
      <rPr>
        <color rgb="FF000000"/>
        <rFont val="Arial"/>
        <sz val="10"/>
      </rPr>
      <t xml:space="preserve">-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没有英文版本的测试报告或证书原件，可附上</t>
    </r>
    <r>
      <rPr>
        <color rgb="FF000000"/>
        <rFont val="Arial"/>
        <sz val="10"/>
      </rPr>
      <t xml:space="preserve">Word</t>
    </r>
    <r>
      <rPr>
        <color rgb="FF000000"/>
        <rFont val="宋体"/>
        <sz val="10"/>
      </rPr>
      <t xml:space="preserve">版本的英文翻译件（翻译件不需要签字盖章）；</t>
    </r>
  </si>
  <si>
    <t>Sandwich Hydrogenation Implementation Schedule</t>
  </si>
  <si>
    <t>Resourse Note</t>
  </si>
  <si>
    <t>时间 Time line</t>
  </si>
  <si>
    <t>month</t>
  </si>
  <si>
    <t>工作事项 work item</t>
  </si>
  <si>
    <t>负责部门</t>
  </si>
  <si>
    <t>Design</t>
  </si>
  <si>
    <t>HAZOP （support resource in grey）</t>
  </si>
  <si>
    <t>UK</t>
  </si>
  <si>
    <t>hazop 下半部分
PID和泵的参数表、数据表 -- 提采购（仪表和自控阀门已经提交采购（采购收集需求信息与Keith确认，然后确定厂家和型号收集下，UK最终确认）；泵还没提，静设备还没提）
layout初稿，共同讨论
设备数据表、设备图 、反应器设备数据表（1.19 聂博） -- 静设备结构（1.23更新好 赵工）
关键设备信息（难点在基于国外规范要求的需求，需要Keith他们提供或反复沟通）
CEPS操作
输出：静设备最终结构设计确定
布局设计终稿
管路设计 -- PID的终稿、layout 终稿、泵和仪表静设备采购信息 -- 3D图 -- 采购 （采购信息确定之后 2周出3D）
结构设计 -- 强度计算（看SW需求？）CFCT无法，要找第三方
控制柜位置确定、采购</t>
  </si>
  <si>
    <t>Control Description</t>
  </si>
  <si>
    <t>IEPE</t>
  </si>
  <si>
    <t>PFD and Mass Balance Data Sheet</t>
  </si>
  <si>
    <t>SW</t>
  </si>
  <si>
    <t>HAZOP</t>
  </si>
  <si>
    <t>PI&amp;D</t>
  </si>
  <si>
    <t>Process Equipment List</t>
  </si>
  <si>
    <t>Equipment datasheets</t>
  </si>
  <si>
    <t>Battery Limit Condition Sheet (Tie-in point sheet)</t>
  </si>
  <si>
    <t>Instrumentation Condition Table</t>
  </si>
  <si>
    <t>Piping Material Class Specification</t>
  </si>
  <si>
    <t>Process Piping List</t>
  </si>
  <si>
    <t>Special Piping Accessories Data Sheet</t>
  </si>
  <si>
    <t>Main Safety Relief Facilities Data Sheet</t>
  </si>
  <si>
    <t>Instrument datasheets</t>
  </si>
  <si>
    <t>Interlock logic</t>
  </si>
  <si>
    <t>IEPE/UK</t>
  </si>
  <si>
    <t>Pump specification sheet</t>
  </si>
  <si>
    <t>Operating instructions</t>
  </si>
  <si>
    <t>Preliminary equipment layout</t>
  </si>
  <si>
    <r>
      <rPr>
        <color rgb="FFFF0000"/>
        <rFont val="微软雅黑"/>
        <sz val="10"/>
      </rPr>
      <t xml:space="preserve">IEPE/</t>
    </r>
    <r>
      <rPr>
        <color rgb="FF000000"/>
        <rFont val="微软雅黑"/>
        <sz val="10"/>
      </rPr>
      <t xml:space="preserve">CFCT</t>
    </r>
  </si>
  <si>
    <t>structural design of static equipment（pink）</t>
  </si>
  <si>
    <t>IEPE/CFCT/UK</t>
  </si>
  <si>
    <t>Reactor column specification sheet</t>
  </si>
  <si>
    <t>IEPE/CFCT</t>
  </si>
  <si>
    <t>Procurement information confirmation(pump\insturment\equipment schedule)</t>
  </si>
  <si>
    <r>
      <rPr>
        <color rgb="FF000000"/>
        <rFont val="微软雅黑"/>
        <sz val="10"/>
      </rPr>
      <t xml:space="preserve">CFCT</t>
    </r>
    <r>
      <rPr>
        <color rgb="FFFF0000"/>
        <rFont val="微软雅黑"/>
        <sz val="10"/>
      </rPr>
      <t xml:space="preserve">/IEPE</t>
    </r>
    <r>
      <rPr>
        <color rgb="FF000000"/>
        <rFont val="微软雅黑"/>
        <sz val="10"/>
      </rPr>
      <t xml:space="preserve">/UK</t>
    </r>
  </si>
  <si>
    <t>FDS(CS in FDS)/SDS/HDS</t>
  </si>
  <si>
    <t>IEPE/CFCT/CIMT</t>
  </si>
  <si>
    <t>FAT后定稿</t>
  </si>
  <si>
    <t>URS</t>
  </si>
  <si>
    <t>Instrument Schedule  (including instrument ranges and set values)</t>
  </si>
  <si>
    <t>I/O schedule (including I/O type, ranges and alarm settings)</t>
  </si>
  <si>
    <t>trip and interlock schedules for PLC interlocks</t>
  </si>
  <si>
    <t>PCS interlocks and hardwired interlocks</t>
  </si>
  <si>
    <t>SIL assessments for safety/environmental interlocks and LOPA assessments for potential SIL rated SIFs</t>
  </si>
  <si>
    <t>Alarm list</t>
  </si>
  <si>
    <t>Hardware drawing of PLC</t>
  </si>
  <si>
    <t>CIMT</t>
  </si>
  <si>
    <t>IOA of PLC</t>
  </si>
  <si>
    <t>Cable schedule</t>
  </si>
  <si>
    <t>Skid</t>
  </si>
  <si>
    <t>3D modelling (procurement feedback; UK confirmation of equipment layout)</t>
  </si>
  <si>
    <t>CFCT</t>
  </si>
  <si>
    <t>BOM</t>
  </si>
  <si>
    <t>Fabrication drawings</t>
  </si>
  <si>
    <t>Engineering procurement (valves &amp; instruments, static equipment, pumps, piping and fittings; within the skid)</t>
  </si>
  <si>
    <t>Control system procurement and configuration</t>
  </si>
  <si>
    <t>CFCT/CIMT</t>
  </si>
  <si>
    <t>Equipment fabrication, assembly and debugging</t>
  </si>
  <si>
    <t>Integrated factory acceptance (FAT)</t>
  </si>
  <si>
    <t>UK/CFCT/IEPE</t>
  </si>
  <si>
    <t>CE certification (individual equipment + whole-skid certification per Notified Body requirements); full documentation completed</t>
  </si>
  <si>
    <t>Export formalities, transport inspection/certification and packing</t>
  </si>
  <si>
    <t>Import/Export</t>
  </si>
  <si>
    <t>Export shipment (Europe)</t>
  </si>
  <si>
    <t>On Site Engineering Design</t>
  </si>
  <si>
    <t>PID</t>
  </si>
  <si>
    <t>UK/IEPE</t>
  </si>
  <si>
    <t>Engineering design documents</t>
  </si>
  <si>
    <t>Detailed design</t>
  </si>
  <si>
    <t>Procurement</t>
  </si>
  <si>
    <t>On Site Installing</t>
  </si>
  <si>
    <t>Off-skid/peripheral installation</t>
  </si>
  <si>
    <r>
      <rPr>
        <color rgb="FF000000"/>
        <rFont val="微软雅黑"/>
        <sz val="10"/>
      </rPr>
      <t xml:space="preserve">U</t>
    </r>
    <r>
      <rPr>
        <color rgb="FF000000"/>
        <rFont val="微软雅黑"/>
        <sz val="10"/>
      </rPr>
      <t xml:space="preserve">K </t>
    </r>
  </si>
  <si>
    <t>Skid installation</t>
  </si>
  <si>
    <r>
      <rPr>
        <color rgb="FF000000"/>
        <rFont val="微软雅黑"/>
        <sz val="10"/>
      </rPr>
      <t xml:space="preserve">U</t>
    </r>
    <r>
      <rPr>
        <color rgb="FF000000"/>
        <rFont val="微软雅黑"/>
        <sz val="10"/>
      </rPr>
      <t xml:space="preserve">K</t>
    </r>
  </si>
  <si>
    <t>Mechanical, electrical, instrumentation &amp; piping (MEIP) installation</t>
  </si>
  <si>
    <t>Qualification &amp; acceptance testing (DQ / IQ / OQ)</t>
  </si>
  <si>
    <t>Commissioning and start-up</t>
  </si>
  <si>
    <r>
      <rPr>
        <b/>
        <color rgb="FF000000"/>
        <rFont val="微软雅黑"/>
        <sz val="12"/>
      </rPr>
      <t xml:space="preserve">s</t>
    </r>
    <r>
      <rPr>
        <b/>
        <color rgb="FF000000"/>
        <rFont val="微软雅黑"/>
        <sz val="12"/>
      </rPr>
      <t xml:space="preserve">andwich连续氢化实施计划表</t>
    </r>
  </si>
  <si>
    <t>CFCT/UK</t>
  </si>
  <si>
    <t>CFCT/Dezhi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</si>
</sst>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£-809]#,##0;\-[$£-809]#,##0"/>
    <numFmt numFmtId="165" formatCode="\¥#,##0;\¥\-#,##0"/>
    <numFmt numFmtId="166" formatCode="General&quot; 万RMB&quot;"/>
    <numFmt numFmtId="167" formatCode="General&quot; M$&quot;"/>
    <numFmt numFmtId="168" formatCode="&quot;1USD=&quot;###0.00&quot;RMB&quot;"/>
    <numFmt numFmtId="169" formatCode="General&quot; M£&quot;"/>
    <numFmt numFmtId="170" formatCode="&quot;1£=&quot;###0.00&quot;RMB&quot;"/>
    <numFmt numFmtId="171" formatCode="#,##0_ "/>
  </numFmts>
  <fonts count="12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微软雅黑"/>
    </font>
    <font>
      <b/>
      <sz val="10"/>
      <color rgb="FF000000"/>
      <name val="微软雅黑"/>
    </font>
    <font>
      <sz val="9"/>
      <color rgb="FF000000"/>
      <name val="微软雅黑"/>
    </font>
    <font>
      <sz val="10"/>
      <color rgb="FFFF0000"/>
      <name val="微软雅黑"/>
    </font>
    <font>
      <sz val="12"/>
      <color rgb="FF000000"/>
      <name val="等线"/>
    </font>
    <font>
      <b/>
      <sz val="8"/>
      <color rgb="FF000000"/>
      <name val="微软雅黑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宋体"/>
    </font>
    <font>
      <sz val="12"/>
      <color rgb="FF000000"/>
      <name val="微软雅黑"/>
    </font>
    <font>
      <sz val="11"/>
      <color rgb="FF000000"/>
      <name val="微软雅黑"/>
    </font>
    <font>
      <sz val="10"/>
      <color rgb="FF0070C0"/>
      <name val="微软雅黑"/>
    </font>
    <font>
      <b/>
      <sz val="12"/>
      <color rgb="FF000000"/>
      <name val="微软雅黑"/>
    </font>
    <font>
      <sz val="12"/>
      <color rgb="FFFF0000"/>
      <name val="微软雅黑"/>
    </font>
    <font>
      <sz val="11"/>
      <color rgb="FFFF0000"/>
      <name val="微软雅黑"/>
    </font>
    <font>
      <sz val="9"/>
      <color rgb="FF7030A0"/>
      <name val="微软雅黑"/>
    </font>
    <font>
      <sz val="10"/>
      <color rgb="FF7030A0"/>
      <name val="微软雅黑"/>
    </font>
    <font>
      <sz val="10"/>
      <color rgb="FF000000"/>
      <name val="微软雅黑, sans-serif"/>
    </font>
    <font>
      <b/>
      <sz val="12"/>
      <color rgb="FF000000"/>
      <name val="微软雅黑"/>
    </font>
    <font>
      <b/>
      <sz val="12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70C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</fonts>
  <fills count="26">
    <fill>
      <patternFill patternType="none"/>
    </fill>
    <fill>
      <patternFill patternType="gray125"/>
    </fill>
    <fill>
      <patternFill patternType="solid">
        <fgColor rgb="FFF7CAAC"/>
      </patternFill>
    </fill>
    <fill>
      <patternFill patternType="solid">
        <fgColor rgb="FFFFFFFF"/>
      </patternFill>
    </fill>
    <fill>
      <patternFill patternType="solid">
        <fgColor rgb="FFA5A5A5"/>
      </patternFill>
    </fill>
    <fill>
      <patternFill patternType="solid">
        <fgColor rgb="FFF4B083"/>
      </patternFill>
    </fill>
    <fill>
      <patternFill patternType="solid">
        <fgColor rgb="FFFFFF00"/>
      </patternFill>
    </fill>
    <fill>
      <patternFill patternType="solid">
        <fgColor rgb="FF8496B0"/>
      </patternFill>
    </fill>
    <fill>
      <patternFill patternType="solid">
        <fgColor rgb="FFA8D08D"/>
      </patternFill>
    </fill>
    <fill>
      <patternFill patternType="solid">
        <fgColor rgb="FF5B9BD5"/>
      </patternFill>
    </fill>
    <fill>
      <patternFill patternType="solid">
        <fgColor rgb="FF548135"/>
      </patternFill>
    </fill>
    <fill>
      <patternFill patternType="solid">
        <fgColor rgb="FF70AD47"/>
      </patternFill>
    </fill>
    <fill>
      <patternFill patternType="solid">
        <fgColor rgb="FFFFD965"/>
      </patternFill>
    </fill>
    <fill>
      <patternFill patternType="solid">
        <fgColor rgb="FFBDD6EE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2E75B5"/>
      </patternFill>
    </fill>
    <fill>
      <patternFill patternType="solid">
        <fgColor rgb="FFC5E0B3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04B0F1"/>
      </patternFill>
    </fill>
    <fill>
      <patternFill patternType="solid">
        <fgColor rgb="FFFEFF00"/>
      </patternFill>
    </fill>
    <fill>
      <patternFill patternType="solid">
        <fgColor rgb="FF6E30A4"/>
      </patternFill>
    </fill>
    <fill>
      <patternFill patternType="solid">
        <fgColor rgb="FF9CC2E5"/>
      </patternFill>
    </fill>
    <fill>
      <patternFill patternType="solid">
        <fgColor rgb="FF8EAADB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7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164" fontId="5" fillId="2" borderId="1" xfId="0" applyNumberFormat="1" applyFont="1" applyFill="1" applyBorder="1" applyProtection="1">
      <alignment horizontal="center" vertical="center" wrapText="1"/>
    </xf>
    <xf numFmtId="164" fontId="6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/>
    </xf>
    <xf numFmtId="164" fontId="5" fillId="3" borderId="3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/>
    </xf>
    <xf numFmtId="164" fontId="7" fillId="4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3" xfId="0" applyNumberFormat="1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5" fillId="2" borderId="1" xfId="0" applyNumberFormat="1" applyFont="1" applyFill="1" applyBorder="1" applyProtection="1">
      <alignment horizontal="center" vertical="center" wrapText="1"/>
    </xf>
    <xf numFmtId="164" fontId="5" fillId="5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6" borderId="2" xfId="0" applyNumberFormat="1" applyFont="1" applyFill="1" applyBorder="1" applyProtection="1">
      <alignment horizontal="center" vertical="center" wrapText="1"/>
    </xf>
    <xf numFmtId="164" fontId="5" fillId="0" borderId="3" xfId="0" applyNumberFormat="1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8" fillId="3" borderId="3" xfId="0" applyNumberFormat="1" applyFont="1" applyFill="1" applyBorder="1" applyProtection="1">
      <alignment horizontal="center" vertical="center"/>
    </xf>
    <xf numFmtId="164" fontId="8" fillId="3" borderId="2" xfId="0" applyNumberFormat="1" applyFont="1" applyFill="1" applyBorder="1" applyProtection="1">
      <alignment horizontal="center" vertical="center"/>
    </xf>
    <xf numFmtId="164" fontId="5" fillId="0" borderId="4" xfId="0" applyNumberFormat="1" applyFont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/>
    </xf>
    <xf numFmtId="164" fontId="5" fillId="3" borderId="5" xfId="0" applyNumberFormat="1" applyFont="1" applyFill="1" applyBorder="1" applyProtection="1">
      <alignment horizontal="center" vertical="center"/>
    </xf>
    <xf numFmtId="164" fontId="5" fillId="6" borderId="2" xfId="0" applyNumberFormat="1" applyFont="1" applyFill="1" applyBorder="1" applyProtection="1">
      <alignment horizontal="center" vertical="center"/>
    </xf>
    <xf numFmtId="164" fontId="5" fillId="6" borderId="5" xfId="0" applyNumberFormat="1" applyFont="1" applyFill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/>
    </xf>
    <xf numFmtId="164" fontId="5" fillId="7" borderId="5" xfId="0" applyNumberFormat="1" applyFont="1" applyFill="1" applyBorder="1" applyProtection="1">
      <alignment horizontal="center" vertical="center"/>
    </xf>
    <xf numFmtId="164" fontId="5" fillId="7" borderId="6" xfId="0" applyNumberFormat="1" applyFont="1" applyFill="1" applyBorder="1" applyProtection="1">
      <alignment horizontal="center" vertical="center"/>
    </xf>
    <xf numFmtId="164" fontId="5" fillId="3" borderId="7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/>
    </xf>
    <xf numFmtId="164" fontId="5" fillId="3" borderId="8" xfId="0" applyNumberFormat="1" applyFont="1" applyFill="1" applyBorder="1" applyProtection="1">
      <alignment horizontal="center" vertical="center"/>
    </xf>
    <xf numFmtId="164" fontId="5" fillId="7" borderId="2" xfId="0" applyNumberFormat="1" applyFont="1" applyFill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5" fillId="3" borderId="9" xfId="0" applyNumberFormat="1" applyFont="1" applyFill="1" applyBorder="1" applyProtection="1">
      <alignment horizontal="center" vertical="center"/>
    </xf>
    <xf numFmtId="164" fontId="5" fillId="0" borderId="7" xfId="0" applyNumberFormat="1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5" fillId="3" borderId="9" xfId="0" applyNumberFormat="1" applyFont="1" applyFill="1" applyBorder="1" applyProtection="1">
      <alignment horizontal="center" vertical="center"/>
    </xf>
    <xf numFmtId="164" fontId="5" fillId="8" borderId="8" xfId="0" applyNumberFormat="1" applyFont="1" applyFill="1" applyBorder="1" applyProtection="1">
      <alignment horizontal="center" vertical="center"/>
    </xf>
    <xf numFmtId="164" fontId="5" fillId="5" borderId="6" xfId="0" applyNumberFormat="1" applyFont="1" applyFill="1" applyBorder="1" applyProtection="1">
      <alignment horizontal="center" vertical="center"/>
    </xf>
    <xf numFmtId="164" fontId="5" fillId="5" borderId="2" xfId="0" applyNumberFormat="1" applyFont="1" applyFill="1" applyBorder="1" applyProtection="1">
      <alignment horizontal="center" vertical="center"/>
    </xf>
    <xf numFmtId="164" fontId="5" fillId="8" borderId="2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5" fillId="7" borderId="2" xfId="0" applyNumberFormat="1" applyFont="1" applyFill="1" applyBorder="1" applyProtection="1">
      <alignment horizontal="center" vertical="center"/>
    </xf>
    <xf numFmtId="164" fontId="5" fillId="3" borderId="4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/>
    </xf>
    <xf numFmtId="164" fontId="5" fillId="3" borderId="0" xfId="0" applyNumberFormat="1" applyFont="1" applyFill="1">
      <alignment horizontal="center" vertical="center"/>
    </xf>
    <xf numFmtId="164" fontId="5" fillId="3" borderId="10" xfId="0" applyNumberFormat="1" applyFont="1" applyFill="1" applyBorder="1" applyProtection="1">
      <alignment horizontal="center" vertical="center"/>
    </xf>
    <xf numFmtId="164" fontId="5" fillId="3" borderId="10" xfId="0" applyNumberFormat="1" applyFont="1" applyFill="1" applyBorder="1" applyProtection="1">
      <alignment horizontal="center" vertical="center"/>
    </xf>
    <xf numFmtId="164" fontId="5" fillId="3" borderId="5" xfId="0" applyNumberFormat="1" applyFont="1" applyFill="1" applyBorder="1" applyProtection="1">
      <alignment horizontal="center" vertical="center"/>
    </xf>
    <xf numFmtId="164" fontId="5" fillId="3" borderId="4" xfId="0" applyNumberFormat="1" applyFont="1" applyFill="1" applyBorder="1" applyProtection="1">
      <alignment horizontal="center" vertical="center"/>
    </xf>
    <xf numFmtId="164" fontId="5" fillId="3" borderId="6" xfId="0" applyNumberFormat="1" applyFont="1" applyFill="1" applyBorder="1" applyProtection="1">
      <alignment horizontal="center" vertical="center"/>
    </xf>
    <xf numFmtId="164" fontId="5" fillId="3" borderId="7" xfId="0" applyNumberFormat="1" applyFont="1" applyFill="1" applyBorder="1" applyProtection="1">
      <alignment horizontal="center" vertical="center"/>
    </xf>
    <xf numFmtId="164" fontId="5" fillId="8" borderId="9" xfId="0" applyNumberFormat="1" applyFont="1" applyFill="1" applyBorder="1" applyProtection="1">
      <alignment horizontal="center" vertical="center"/>
    </xf>
    <xf numFmtId="164" fontId="5" fillId="3" borderId="11" xfId="0" applyNumberFormat="1" applyFont="1" applyFill="1" applyBorder="1" applyProtection="1">
      <alignment horizontal="center" vertical="center"/>
    </xf>
    <xf numFmtId="164" fontId="5" fillId="5" borderId="5" xfId="0" applyNumberFormat="1" applyFont="1" applyFill="1" applyBorder="1" applyProtection="1">
      <alignment horizontal="center" vertical="center"/>
    </xf>
    <xf numFmtId="164" fontId="5" fillId="5" borderId="4" xfId="0" applyNumberFormat="1" applyFont="1" applyFill="1" applyBorder="1" applyProtection="1">
      <alignment horizontal="center" vertical="center"/>
    </xf>
    <xf numFmtId="164" fontId="5" fillId="8" borderId="2" xfId="0" applyNumberFormat="1" applyFont="1" applyFill="1" applyBorder="1" applyProtection="1">
      <alignment horizontal="center" vertical="center"/>
    </xf>
    <xf numFmtId="164" fontId="8" fillId="8" borderId="2" xfId="0" applyNumberFormat="1" applyFont="1" applyFill="1" applyBorder="1" applyProtection="1">
      <alignment horizontal="center" vertical="center"/>
    </xf>
    <xf numFmtId="164" fontId="5" fillId="5" borderId="0" xfId="0" applyNumberFormat="1" applyFont="1" applyFill="1">
      <alignment horizontal="center" vertical="center"/>
    </xf>
    <xf numFmtId="164" fontId="5" fillId="5" borderId="5" xfId="0" applyNumberFormat="1" applyFont="1" applyFill="1" applyBorder="1" applyProtection="1">
      <alignment horizontal="center" vertical="center"/>
    </xf>
    <xf numFmtId="164" fontId="5" fillId="6" borderId="2" xfId="0" applyNumberFormat="1" applyFont="1" applyFill="1" applyBorder="1" applyProtection="1">
      <alignment horizontal="center" vertical="center"/>
    </xf>
    <xf numFmtId="164" fontId="5" fillId="7" borderId="2" xfId="0" applyNumberFormat="1" applyFont="1" applyFill="1" applyBorder="1" applyProtection="1">
      <alignment horizontal="center" vertical="center"/>
    </xf>
    <xf numFmtId="164" fontId="5" fillId="9" borderId="2" xfId="0" applyNumberFormat="1" applyFont="1" applyFill="1" applyBorder="1" applyProtection="1">
      <alignment horizontal="center" vertical="center"/>
    </xf>
    <xf numFmtId="164" fontId="5" fillId="10" borderId="2" xfId="0" applyNumberFormat="1" applyFont="1" applyFill="1" applyBorder="1" applyProtection="1">
      <alignment horizontal="center" vertical="center"/>
    </xf>
    <xf numFmtId="164" fontId="5" fillId="3" borderId="4" xfId="0" applyNumberFormat="1" applyFont="1" applyFill="1" applyBorder="1" applyProtection="1">
      <alignment horizontal="center" vertical="center"/>
    </xf>
    <xf numFmtId="164" fontId="5" fillId="5" borderId="5" xfId="0" applyNumberFormat="1" applyFont="1" applyFill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/>
    </xf>
    <xf numFmtId="164" fontId="5" fillId="11" borderId="2" xfId="0" applyNumberFormat="1" applyFont="1" applyFill="1" applyBorder="1" applyProtection="1">
      <alignment horizontal="center" vertical="center"/>
    </xf>
    <xf numFmtId="164" fontId="5" fillId="11" borderId="2" xfId="0" applyNumberFormat="1" applyFont="1" applyFill="1" applyBorder="1" applyProtection="1">
      <alignment horizontal="center" vertical="center"/>
    </xf>
    <xf numFmtId="164" fontId="5" fillId="11" borderId="2" xfId="0" applyNumberFormat="1" applyFont="1" applyFill="1" applyBorder="1" applyProtection="1">
      <alignment horizontal="center" vertical="center"/>
    </xf>
    <xf numFmtId="164" fontId="5" fillId="11" borderId="5" xfId="0" applyNumberFormat="1" applyFont="1" applyFill="1" applyBorder="1" applyProtection="1">
      <alignment horizontal="center" vertical="center"/>
    </xf>
    <xf numFmtId="164" fontId="5" fillId="3" borderId="5" xfId="0" applyNumberFormat="1" applyFont="1" applyFill="1" applyBorder="1" applyProtection="1">
      <alignment horizontal="center" vertical="center"/>
    </xf>
    <xf numFmtId="164" fontId="5" fillId="12" borderId="2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3" borderId="6" xfId="0" applyNumberFormat="1" applyFont="1" applyFill="1" applyBorder="1" applyProtection="1">
      <alignment horizontal="center" vertical="center"/>
    </xf>
    <xf numFmtId="164" fontId="5" fillId="3" borderId="5" xfId="0" applyNumberFormat="1" applyFont="1" applyFill="1" applyBorder="1" applyProtection="1">
      <alignment horizontal="center" vertical="center"/>
    </xf>
    <xf numFmtId="164" fontId="5" fillId="5" borderId="2" xfId="0" applyNumberFormat="1" applyFont="1" applyFill="1" applyBorder="1" applyProtection="1">
      <alignment horizontal="center" vertical="center"/>
    </xf>
    <xf numFmtId="164" fontId="5" fillId="8" borderId="9" xfId="0" applyNumberFormat="1" applyFont="1" applyFill="1" applyBorder="1" applyProtection="1">
      <alignment horizontal="center" vertical="center"/>
    </xf>
    <xf numFmtId="164" fontId="5" fillId="8" borderId="11" xfId="0" applyNumberFormat="1" applyFont="1" applyFill="1" applyBorder="1" applyProtection="1">
      <alignment horizontal="center" vertical="center"/>
    </xf>
    <xf numFmtId="164" fontId="5" fillId="6" borderId="3" xfId="0" applyNumberFormat="1" applyFont="1" applyFill="1" applyBorder="1" applyProtection="1">
      <alignment horizontal="center" vertical="center"/>
    </xf>
    <xf numFmtId="164" fontId="5" fillId="3" borderId="5" xfId="0" applyNumberFormat="1" applyFont="1" applyFill="1" applyBorder="1" applyProtection="1">
      <alignment horizontal="center" vertical="center"/>
    </xf>
    <xf numFmtId="164" fontId="5" fillId="8" borderId="9" xfId="0" applyNumberFormat="1" applyFont="1" applyFill="1" applyBorder="1" applyProtection="1">
      <alignment horizontal="center" vertical="center"/>
    </xf>
    <xf numFmtId="164" fontId="9" fillId="12" borderId="2" xfId="0" applyNumberFormat="1" applyFont="1" applyFill="1" applyBorder="1" applyProtection="1">
      <alignment horizontal="general" vertical="center"/>
    </xf>
    <xf numFmtId="164" fontId="9" fillId="3" borderId="2" xfId="0" applyNumberFormat="1" applyFont="1" applyFill="1" applyBorder="1" applyProtection="1">
      <alignment horizontal="general" vertical="center"/>
    </xf>
    <xf numFmtId="164" fontId="9" fillId="3" borderId="5" xfId="0" applyNumberFormat="1" applyFont="1" applyFill="1" applyBorder="1" applyProtection="1">
      <alignment horizontal="general" vertical="center"/>
    </xf>
    <xf numFmtId="164" fontId="9" fillId="3" borderId="5" xfId="0" applyNumberFormat="1" applyFont="1" applyFill="1" applyBorder="1" applyProtection="1">
      <alignment horizontal="general" vertical="center"/>
    </xf>
    <xf numFmtId="164" fontId="5" fillId="5" borderId="5" xfId="0" applyNumberFormat="1" applyFont="1" applyFill="1" applyBorder="1" applyProtection="1">
      <alignment horizontal="center" vertical="center"/>
    </xf>
    <xf numFmtId="164" fontId="5" fillId="5" borderId="2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0" borderId="11" xfId="0" applyNumberFormat="1" applyFont="1" applyBorder="1" applyProtection="1">
      <alignment horizontal="center" vertical="center"/>
    </xf>
    <xf numFmtId="164" fontId="9" fillId="0" borderId="2" xfId="0" applyNumberFormat="1" applyFont="1" applyBorder="1" applyProtection="1">
      <alignment horizontal="general" vertical="center"/>
    </xf>
    <xf numFmtId="164" fontId="9" fillId="0" borderId="5" xfId="0" applyNumberFormat="1" applyFont="1" applyBorder="1" applyProtection="1">
      <alignment horizontal="general" vertical="center"/>
    </xf>
    <xf numFmtId="164" fontId="9" fillId="0" borderId="5" xfId="0" applyNumberFormat="1" applyFont="1" applyBorder="1" applyProtection="1">
      <alignment horizontal="general" vertical="center"/>
    </xf>
    <xf numFmtId="164" fontId="5" fillId="3" borderId="12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0" borderId="7" xfId="0" applyNumberFormat="1" applyFont="1" applyBorder="1" applyProtection="1">
      <alignment horizontal="center" vertical="center"/>
    </xf>
    <xf numFmtId="164" fontId="10" fillId="13" borderId="5" xfId="0" applyNumberFormat="1" applyFont="1" applyFill="1" applyBorder="1" applyProtection="1">
      <alignment horizontal="center" vertical="center"/>
    </xf>
    <xf numFmtId="164" fontId="5" fillId="14" borderId="2" xfId="0" applyNumberFormat="1" applyFont="1" applyFill="1" applyBorder="1" applyProtection="1">
      <alignment horizontal="center" vertical="center"/>
    </xf>
    <xf numFmtId="164" fontId="9" fillId="14" borderId="7" xfId="0" applyNumberFormat="1" applyFont="1" applyFill="1" applyBorder="1" applyProtection="1">
      <alignment horizontal="general" vertical="center"/>
    </xf>
    <xf numFmtId="164" fontId="10" fillId="13" borderId="6" xfId="0" applyNumberFormat="1" applyFont="1" applyFill="1" applyBorder="1" applyProtection="1">
      <alignment horizontal="center" vertical="center"/>
    </xf>
    <xf numFmtId="164" fontId="10" fillId="13" borderId="5" xfId="0" applyNumberFormat="1" applyFont="1" applyFill="1" applyBorder="1" applyProtection="1">
      <alignment horizontal="center" vertical="center"/>
    </xf>
    <xf numFmtId="164" fontId="9" fillId="0" borderId="7" xfId="0" applyNumberFormat="1" applyFont="1" applyBorder="1" applyProtection="1">
      <alignment horizontal="general" vertical="center"/>
    </xf>
    <xf numFmtId="164" fontId="9" fillId="14" borderId="2" xfId="0" applyNumberFormat="1" applyFont="1" applyFill="1" applyBorder="1" applyProtection="1">
      <alignment horizontal="general" vertical="center"/>
    </xf>
    <xf numFmtId="164" fontId="9" fillId="0" borderId="7" xfId="0" applyNumberFormat="1" applyFont="1" applyBorder="1" applyProtection="1">
      <alignment horizontal="general" vertical="center"/>
    </xf>
    <xf numFmtId="164" fontId="9" fillId="0" borderId="2" xfId="0" applyNumberFormat="1" applyFont="1" applyBorder="1" applyProtection="1">
      <alignment horizontal="general" vertical="center"/>
    </xf>
    <xf numFmtId="164" fontId="5" fillId="0" borderId="7" xfId="0" applyNumberFormat="1" applyFont="1" applyBorder="1" applyProtection="1">
      <alignment horizontal="center" vertical="center"/>
    </xf>
    <xf numFmtId="164" fontId="9" fillId="0" borderId="2" xfId="0" applyNumberFormat="1" applyFont="1" applyBorder="1" applyProtection="1">
      <alignment horizontal="general" vertical="center"/>
    </xf>
    <xf numFmtId="164" fontId="9" fillId="15" borderId="2" xfId="0" applyNumberFormat="1" applyFont="1" applyFill="1" applyBorder="1" applyProtection="1">
      <alignment horizontal="general" vertical="center"/>
    </xf>
    <xf numFmtId="164" fontId="9" fillId="0" borderId="0" xfId="0" applyNumberFormat="1" applyFont="1">
      <alignment horizontal="center" vertical="center"/>
    </xf>
    <xf numFmtId="164" fontId="9" fillId="0" borderId="0" xfId="0" applyNumberFormat="1" applyFont="1">
      <alignment horizontal="general" vertical="center" wrapText="1"/>
    </xf>
    <xf numFmtId="164" fontId="9" fillId="16" borderId="2" xfId="0" applyNumberFormat="1" applyFont="1" applyFill="1" applyBorder="1" applyProtection="1">
      <alignment horizontal="general" vertical="center"/>
    </xf>
    <xf numFmtId="164" fontId="9" fillId="5" borderId="2" xfId="0" applyNumberFormat="1" applyFont="1" applyFill="1" applyBorder="1" applyProtection="1">
      <alignment horizontal="general" vertical="center"/>
    </xf>
    <xf numFmtId="164" fontId="9" fillId="0" borderId="0" xfId="0" applyNumberFormat="1" applyFont="1">
      <alignment horizontal="general" vertical="center"/>
    </xf>
    <xf numFmtId="164" fontId="9" fillId="0" borderId="2" xfId="0" applyNumberFormat="1" applyFont="1" applyBorder="1" applyProtection="1">
      <alignment horizontal="general" vertical="center"/>
    </xf>
    <xf numFmtId="164" fontId="9" fillId="0" borderId="2" xfId="0" applyNumberFormat="1" applyFont="1" applyBorder="1" applyProtection="1">
      <alignment horizontal="left" vertical="center"/>
    </xf>
    <xf numFmtId="164" fontId="9" fillId="0" borderId="2" xfId="0" applyNumberFormat="1" applyFont="1" applyBorder="1" applyProtection="1">
      <alignment horizontal="general" vertical="center" wrapText="1"/>
    </xf>
    <xf numFmtId="164" fontId="9" fillId="0" borderId="0" xfId="0" applyNumberFormat="1" applyFont="1">
      <alignment horizontal="left" vertical="center"/>
    </xf>
    <xf numFmtId="164" fontId="11" fillId="0" borderId="0" xfId="0" applyNumberFormat="1" applyFont="1">
      <alignment horizontal="left" vertical="center" indent="2"/>
    </xf>
    <xf numFmtId="164" fontId="11" fillId="0" borderId="0" xfId="0" applyNumberFormat="1" applyFont="1">
      <alignment horizontal="left" vertical="center" indent="5"/>
    </xf>
    <xf numFmtId="164" fontId="12" fillId="0" borderId="0" xfId="0" applyNumberFormat="1" applyFont="1">
      <alignment horizontal="general" vertical="center"/>
    </xf>
    <xf numFmtId="164" fontId="13" fillId="0" borderId="0" xfId="0" applyNumberFormat="1" applyFont="1">
      <alignment horizontal="general" vertical="center"/>
    </xf>
    <xf numFmtId="164" fontId="5" fillId="0" borderId="0" xfId="0" applyNumberFormat="1" applyFont="1">
      <alignment horizontal="center" vertical="center" wrapText="1"/>
    </xf>
    <xf numFmtId="164" fontId="8" fillId="0" borderId="0" xfId="0" applyNumberFormat="1" applyFont="1">
      <alignment horizontal="center" vertical="center" wrapText="1"/>
    </xf>
    <xf numFmtId="164" fontId="14" fillId="0" borderId="0" xfId="0" applyNumberFormat="1" applyFont="1">
      <alignment horizontal="center" vertical="center" wrapText="1"/>
    </xf>
    <xf numFmtId="164" fontId="15" fillId="0" borderId="0" xfId="0" applyNumberFormat="1" applyFont="1">
      <alignment horizontal="center" vertical="center" wrapText="1"/>
    </xf>
    <xf numFmtId="164" fontId="5" fillId="0" borderId="0" xfId="0" applyNumberFormat="1" applyFont="1">
      <alignment horizontal="right" vertical="center" wrapText="1"/>
    </xf>
    <xf numFmtId="164" fontId="5" fillId="0" borderId="0" xfId="0" applyNumberFormat="1" applyFont="1">
      <alignment horizontal="left" vertical="center" wrapText="1"/>
    </xf>
    <xf numFmtId="164" fontId="14" fillId="0" borderId="0" xfId="0" applyNumberFormat="1" applyFont="1">
      <alignment horizontal="general" vertical="center"/>
    </xf>
    <xf numFmtId="164" fontId="5" fillId="0" borderId="13" xfId="0" applyNumberFormat="1" applyFont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15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6" fillId="13" borderId="2" xfId="0" applyNumberFormat="1" applyFont="1" applyFill="1" applyBorder="1" applyProtection="1">
      <alignment horizontal="right" vertical="center" wrapText="1"/>
    </xf>
    <xf numFmtId="164" fontId="5" fillId="6" borderId="2" xfId="0" applyNumberFormat="1" applyFont="1" applyFill="1" applyBorder="1" applyProtection="1">
      <alignment horizontal="center" vertical="center" wrapText="1"/>
    </xf>
    <xf numFmtId="165" fontId="16" fillId="17" borderId="9" xfId="0" applyNumberFormat="1" applyFont="1" applyFill="1" applyBorder="1" applyProtection="1">
      <alignment horizontal="center" vertical="center" wrapText="1"/>
    </xf>
    <xf numFmtId="164" fontId="16" fillId="0" borderId="2" xfId="0" applyNumberFormat="1" applyFont="1" applyBorder="1" applyProtection="1">
      <alignment horizontal="center" vertical="center" wrapText="1"/>
    </xf>
    <xf numFmtId="164" fontId="16" fillId="6" borderId="2" xfId="0" applyNumberFormat="1" applyFont="1" applyFill="1" applyBorder="1" applyProtection="1">
      <alignment horizontal="center" vertical="center" wrapText="1"/>
    </xf>
    <xf numFmtId="164" fontId="5" fillId="0" borderId="16" xfId="0" applyNumberFormat="1" applyFont="1" applyBorder="1" applyProtection="1">
      <alignment horizontal="center" vertical="center" wrapText="1"/>
    </xf>
    <xf numFmtId="164" fontId="17" fillId="0" borderId="0" xfId="0" applyNumberFormat="1" applyFont="1">
      <alignment horizontal="right" vertical="center" wrapText="1"/>
    </xf>
    <xf numFmtId="164" fontId="5" fillId="0" borderId="0" xfId="0" applyNumberFormat="1" applyFont="1">
      <alignment horizontal="center" vertical="center" wrapText="1"/>
    </xf>
    <xf numFmtId="165" fontId="16" fillId="0" borderId="14" xfId="0" applyNumberFormat="1" applyFont="1" applyBorder="1" applyProtection="1">
      <alignment horizontal="center" vertical="center" wrapText="1"/>
    </xf>
    <xf numFmtId="165" fontId="16" fillId="3" borderId="14" xfId="0" applyNumberFormat="1" applyFont="1" applyFill="1" applyBorder="1" applyProtection="1">
      <alignment horizontal="right" vertical="center" wrapText="1"/>
    </xf>
    <xf numFmtId="165" fontId="5" fillId="0" borderId="14" xfId="0" applyNumberFormat="1" applyFont="1" applyBorder="1" applyProtection="1">
      <alignment horizontal="right" vertical="center" wrapText="1"/>
    </xf>
    <xf numFmtId="165" fontId="5" fillId="0" borderId="17" xfId="0" applyNumberFormat="1" applyFont="1" applyBorder="1" applyProtection="1">
      <alignment horizontal="left" vertical="center" wrapText="1"/>
    </xf>
    <xf numFmtId="165" fontId="16" fillId="0" borderId="9" xfId="0" applyNumberFormat="1" applyFont="1" applyBorder="1" applyProtection="1">
      <alignment horizontal="center" vertical="center" wrapText="1"/>
    </xf>
    <xf numFmtId="165" fontId="16" fillId="3" borderId="9" xfId="0" applyNumberFormat="1" applyFont="1" applyFill="1" applyBorder="1" applyProtection="1">
      <alignment horizontal="right" vertical="center" wrapText="1"/>
    </xf>
    <xf numFmtId="165" fontId="5" fillId="0" borderId="9" xfId="0" applyNumberFormat="1" applyFont="1" applyBorder="1" applyProtection="1">
      <alignment horizontal="right" vertical="center" wrapText="1"/>
    </xf>
    <xf numFmtId="165" fontId="5" fillId="0" borderId="18" xfId="0" applyNumberFormat="1" applyFont="1" applyBorder="1" applyProtection="1">
      <alignment horizontal="left" vertical="center" wrapText="1"/>
    </xf>
    <xf numFmtId="165" fontId="16" fillId="0" borderId="2" xfId="0" applyNumberFormat="1" applyFont="1" applyBorder="1" applyProtection="1">
      <alignment horizontal="center" vertical="center" wrapText="1"/>
    </xf>
    <xf numFmtId="165" fontId="5" fillId="0" borderId="2" xfId="0" applyNumberFormat="1" applyFont="1" applyBorder="1" applyProtection="1">
      <alignment horizontal="right" vertical="center" wrapText="1"/>
    </xf>
    <xf numFmtId="165" fontId="5" fillId="0" borderId="18" xfId="0" applyNumberFormat="1" applyFont="1" applyBorder="1" applyProtection="1">
      <alignment horizontal="center" vertical="center" wrapText="1"/>
    </xf>
    <xf numFmtId="165" fontId="16" fillId="0" borderId="18" xfId="0" applyNumberFormat="1" applyFont="1" applyBorder="1" applyProtection="1">
      <alignment horizontal="center" vertical="center" wrapText="1"/>
    </xf>
    <xf numFmtId="165" fontId="8" fillId="0" borderId="18" xfId="0" applyNumberFormat="1" applyFont="1" applyBorder="1" applyProtection="1">
      <alignment horizontal="left" vertical="center" wrapText="1"/>
    </xf>
    <xf numFmtId="165" fontId="16" fillId="0" borderId="9" xfId="0" applyNumberFormat="1" applyFont="1" applyBorder="1" applyProtection="1">
      <alignment horizontal="right" vertical="center" wrapText="1"/>
    </xf>
    <xf numFmtId="165" fontId="5" fillId="15" borderId="2" xfId="0" applyNumberFormat="1" applyFont="1" applyFill="1" applyBorder="1" applyProtection="1">
      <alignment horizontal="right" vertical="center" wrapText="1"/>
    </xf>
    <xf numFmtId="165" fontId="5" fillId="13" borderId="18" xfId="0" applyNumberFormat="1" applyFont="1" applyFill="1" applyBorder="1" applyProtection="1">
      <alignment horizontal="left" vertical="center" wrapText="1"/>
    </xf>
    <xf numFmtId="165" fontId="8" fillId="0" borderId="2" xfId="0" applyNumberFormat="1" applyFont="1" applyBorder="1" applyProtection="1">
      <alignment horizontal="right" vertical="center" wrapText="1"/>
    </xf>
    <xf numFmtId="165" fontId="8" fillId="0" borderId="2" xfId="0" applyNumberFormat="1" applyFont="1" applyBorder="1" applyProtection="1">
      <alignment horizontal="center" vertical="center" wrapText="1"/>
    </xf>
    <xf numFmtId="164" fontId="8" fillId="0" borderId="2" xfId="0" applyNumberFormat="1" applyFont="1" applyBorder="1" applyProtection="1">
      <alignment horizontal="right" vertical="center" wrapText="1"/>
    </xf>
    <xf numFmtId="164" fontId="5" fillId="0" borderId="18" xfId="0" applyNumberFormat="1" applyFont="1" applyBorder="1" applyProtection="1">
      <alignment horizontal="left" vertical="center" wrapText="1"/>
    </xf>
    <xf numFmtId="164" fontId="18" fillId="0" borderId="0" xfId="0" applyNumberFormat="1" applyFont="1">
      <alignment horizontal="center" vertical="center" wrapText="1"/>
    </xf>
    <xf numFmtId="165" fontId="16" fillId="17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right" vertical="center" wrapText="1"/>
    </xf>
    <xf numFmtId="165" fontId="5" fillId="0" borderId="2" xfId="0" applyNumberFormat="1" applyFont="1" applyBorder="1" applyProtection="1">
      <alignment horizontal="center" vertical="center" wrapText="1"/>
    </xf>
    <xf numFmtId="164" fontId="6" fillId="13" borderId="2" xfId="0" applyNumberFormat="1" applyFont="1" applyFill="1" applyBorder="1" applyProtection="1">
      <alignment horizontal="center" vertical="center" wrapText="1"/>
    </xf>
    <xf numFmtId="165" fontId="5" fillId="14" borderId="19" xfId="0" applyNumberFormat="1" applyFont="1" applyFill="1" applyBorder="1" applyProtection="1">
      <alignment horizontal="right" vertical="center" wrapText="1"/>
    </xf>
    <xf numFmtId="164" fontId="5" fillId="0" borderId="20" xfId="0" applyNumberFormat="1" applyFont="1" applyBorder="1" applyProtection="1">
      <alignment horizontal="right" vertical="center" wrapText="1"/>
    </xf>
    <xf numFmtId="165" fontId="5" fillId="0" borderId="0" xfId="0" applyNumberFormat="1" applyFont="1">
      <alignment horizontal="center" vertical="center" wrapText="1"/>
    </xf>
    <xf numFmtId="164" fontId="17" fillId="0" borderId="2" xfId="0" applyNumberFormat="1" applyFont="1" applyBorder="1" applyProtection="1">
      <alignment horizontal="center" vertical="center" wrapText="1"/>
    </xf>
    <xf numFmtId="166" fontId="5" fillId="0" borderId="2" xfId="0" applyNumberFormat="1" applyFont="1" applyBorder="1" applyProtection="1">
      <alignment horizontal="right" vertical="center" wrapText="1"/>
    </xf>
    <xf numFmtId="167" fontId="5" fillId="0" borderId="2" xfId="0" applyNumberFormat="1" applyFont="1" applyBorder="1" applyProtection="1">
      <alignment horizontal="right" vertical="center" wrapText="1"/>
    </xf>
    <xf numFmtId="168" fontId="5" fillId="3" borderId="2" xfId="0" applyNumberFormat="1" applyFont="1" applyFill="1" applyBorder="1" applyProtection="1">
      <alignment horizontal="right" vertical="center" wrapText="1"/>
    </xf>
    <xf numFmtId="164" fontId="17" fillId="0" borderId="2" xfId="0" applyNumberFormat="1" applyFont="1" applyBorder="1" applyProtection="1">
      <alignment horizontal="right" vertical="center" wrapText="1"/>
    </xf>
    <xf numFmtId="169" fontId="5" fillId="0" borderId="2" xfId="0" applyNumberFormat="1" applyFont="1" applyBorder="1" applyProtection="1">
      <alignment horizontal="right" vertical="center" wrapText="1"/>
    </xf>
    <xf numFmtId="170" fontId="5" fillId="3" borderId="2" xfId="0" applyNumberFormat="1" applyFont="1" applyFill="1" applyBorder="1" applyProtection="1">
      <alignment horizontal="right" vertical="center" wrapText="1"/>
    </xf>
    <xf numFmtId="164" fontId="5" fillId="0" borderId="0" xfId="0" applyNumberFormat="1" applyFont="1">
      <alignment horizontal="center" vertical="center"/>
    </xf>
    <xf numFmtId="164" fontId="7" fillId="0" borderId="2" xfId="0" applyNumberFormat="1" applyFont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 wrapText="1"/>
    </xf>
    <xf numFmtId="164" fontId="5" fillId="18" borderId="2" xfId="0" applyNumberFormat="1" applyFont="1" applyFill="1" applyBorder="1" applyProtection="1">
      <alignment horizontal="center" vertical="center"/>
    </xf>
    <xf numFmtId="164" fontId="5" fillId="19" borderId="2" xfId="0" applyNumberFormat="1" applyFont="1" applyFill="1" applyBorder="1" applyProtection="1">
      <alignment horizontal="center" vertical="center"/>
    </xf>
    <xf numFmtId="164" fontId="5" fillId="19" borderId="5" xfId="0" applyNumberFormat="1" applyFont="1" applyFill="1" applyBorder="1" applyProtection="1">
      <alignment horizontal="center" vertical="center"/>
    </xf>
    <xf numFmtId="164" fontId="5" fillId="19" borderId="6" xfId="0" applyNumberFormat="1" applyFont="1" applyFill="1" applyBorder="1" applyProtection="1">
      <alignment horizontal="center" vertical="center"/>
    </xf>
    <xf numFmtId="164" fontId="5" fillId="19" borderId="2" xfId="0" applyNumberFormat="1" applyFont="1" applyFill="1" applyBorder="1" applyProtection="1">
      <alignment horizontal="center" vertical="center"/>
    </xf>
    <xf numFmtId="164" fontId="5" fillId="19" borderId="2" xfId="0" applyNumberFormat="1" applyFont="1" applyFill="1" applyBorder="1" applyProtection="1">
      <alignment horizontal="center" vertical="center"/>
    </xf>
    <xf numFmtId="164" fontId="7" fillId="14" borderId="2" xfId="0" applyNumberFormat="1" applyFont="1" applyFill="1" applyBorder="1" applyProtection="1">
      <alignment horizontal="center" vertical="center" wrapText="1"/>
    </xf>
    <xf numFmtId="164" fontId="5" fillId="14" borderId="2" xfId="0" applyNumberFormat="1" applyFont="1" applyFill="1" applyBorder="1" applyProtection="1">
      <alignment horizontal="center" vertical="center" wrapText="1"/>
    </xf>
    <xf numFmtId="164" fontId="5" fillId="15" borderId="2" xfId="0" applyNumberFormat="1" applyFont="1" applyFill="1" applyBorder="1" applyProtection="1">
      <alignment horizontal="center" vertical="center"/>
    </xf>
    <xf numFmtId="164" fontId="5" fillId="15" borderId="7" xfId="0" applyNumberFormat="1" applyFont="1" applyFill="1" applyBorder="1" applyProtection="1">
      <alignment horizontal="center" vertical="center"/>
    </xf>
    <xf numFmtId="164" fontId="5" fillId="15" borderId="2" xfId="0" applyNumberFormat="1" applyFont="1" applyFill="1" applyBorder="1" applyProtection="1">
      <alignment horizontal="center" vertical="center"/>
    </xf>
    <xf numFmtId="164" fontId="5" fillId="20" borderId="7" xfId="0" applyNumberFormat="1" applyFont="1" applyFill="1" applyBorder="1" applyProtection="1">
      <alignment horizontal="center" vertical="center"/>
    </xf>
    <xf numFmtId="164" fontId="8" fillId="14" borderId="2" xfId="0" applyNumberFormat="1" applyFont="1" applyFill="1" applyBorder="1" applyProtection="1">
      <alignment horizontal="center" vertical="center" wrapText="1"/>
    </xf>
    <xf numFmtId="164" fontId="19" fillId="14" borderId="2" xfId="0" applyNumberFormat="1" applyFont="1" applyFill="1" applyBorder="1" applyProtection="1">
      <alignment horizontal="center" vertical="center" wrapText="1"/>
    </xf>
    <xf numFmtId="164" fontId="8" fillId="0" borderId="2" xfId="0" applyNumberFormat="1" applyFont="1" applyBorder="1" applyProtection="1">
      <alignment horizontal="center" vertical="center" wrapText="1"/>
    </xf>
    <xf numFmtId="164" fontId="19" fillId="0" borderId="2" xfId="0" applyNumberFormat="1" applyFont="1" applyBorder="1" applyProtection="1">
      <alignment horizontal="center" vertical="center" wrapText="1"/>
    </xf>
    <xf numFmtId="164" fontId="5" fillId="15" borderId="2" xfId="0" applyNumberFormat="1" applyFont="1" applyFill="1" applyBorder="1" applyProtection="1">
      <alignment horizontal="center" vertical="center"/>
    </xf>
    <xf numFmtId="164" fontId="5" fillId="6" borderId="2" xfId="0" applyNumberFormat="1" applyFont="1" applyFill="1" applyBorder="1" applyProtection="1">
      <alignment horizontal="center" vertical="center" wrapText="1"/>
    </xf>
    <xf numFmtId="164" fontId="5" fillId="14" borderId="9" xfId="0" applyNumberFormat="1" applyFont="1" applyFill="1" applyBorder="1" applyProtection="1">
      <alignment horizontal="center" vertical="center"/>
    </xf>
    <xf numFmtId="164" fontId="5" fillId="18" borderId="2" xfId="0" applyNumberFormat="1" applyFont="1" applyFill="1" applyBorder="1" applyProtection="1">
      <alignment horizontal="center" vertical="center"/>
    </xf>
    <xf numFmtId="164" fontId="5" fillId="19" borderId="2" xfId="0" applyNumberFormat="1" applyFont="1" applyFill="1" applyBorder="1" applyProtection="1">
      <alignment horizontal="center" vertical="center"/>
    </xf>
    <xf numFmtId="164" fontId="20" fillId="14" borderId="2" xfId="0" applyNumberFormat="1" applyFont="1" applyFill="1" applyBorder="1" applyProtection="1">
      <alignment horizontal="center" vertical="center" wrapText="1"/>
    </xf>
    <xf numFmtId="164" fontId="20" fillId="0" borderId="2" xfId="0" applyNumberFormat="1" applyFont="1" applyBorder="1" applyProtection="1">
      <alignment horizontal="center" vertical="center" wrapText="1"/>
    </xf>
    <xf numFmtId="164" fontId="21" fillId="6" borderId="2" xfId="0" applyNumberFormat="1" applyFont="1" applyFill="1" applyBorder="1" applyProtection="1">
      <alignment horizontal="center" vertical="center" wrapText="1"/>
    </xf>
    <xf numFmtId="164" fontId="21" fillId="0" borderId="2" xfId="0" applyNumberFormat="1" applyFont="1" applyBorder="1" applyProtection="1">
      <alignment horizontal="center" vertical="center" wrapText="1"/>
    </xf>
    <xf numFmtId="164" fontId="21" fillId="14" borderId="2" xfId="0" applyNumberFormat="1" applyFont="1" applyFill="1" applyBorder="1" applyProtection="1">
      <alignment horizontal="center" vertical="center" wrapText="1"/>
    </xf>
    <xf numFmtId="171" fontId="9" fillId="0" borderId="0" xfId="0" applyNumberFormat="1" applyFont="1">
      <alignment horizontal="center" vertical="center"/>
    </xf>
    <xf numFmtId="171" fontId="10" fillId="13" borderId="3" xfId="0" applyNumberFormat="1" applyFont="1" applyFill="1" applyBorder="1" applyProtection="1">
      <alignment horizontal="center" vertical="center"/>
    </xf>
    <xf numFmtId="171" fontId="10" fillId="13" borderId="2" xfId="0" applyNumberFormat="1" applyFont="1" applyFill="1" applyBorder="1" applyProtection="1">
      <alignment horizontal="center" vertical="center"/>
    </xf>
    <xf numFmtId="171" fontId="10" fillId="13" borderId="5" xfId="0" applyNumberFormat="1" applyFont="1" applyFill="1" applyBorder="1" applyProtection="1">
      <alignment horizontal="center" vertical="center"/>
    </xf>
    <xf numFmtId="171" fontId="10" fillId="13" borderId="6" xfId="0" applyNumberFormat="1" applyFont="1" applyFill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71" fontId="10" fillId="13" borderId="2" xfId="0" applyNumberFormat="1" applyFont="1" applyFill="1" applyBorder="1" applyProtection="1">
      <alignment horizontal="center" vertical="center"/>
    </xf>
    <xf numFmtId="171" fontId="10" fillId="13" borderId="5" xfId="0" applyNumberFormat="1" applyFont="1" applyFill="1" applyBorder="1" applyProtection="1">
      <alignment horizontal="center" vertical="center"/>
    </xf>
    <xf numFmtId="164" fontId="5" fillId="2" borderId="1" xfId="0" applyNumberFormat="1" applyFont="1" applyFill="1" applyBorder="1" applyProtection="1">
      <alignment horizontal="center" vertical="center" wrapText="1"/>
    </xf>
    <xf numFmtId="171" fontId="10" fillId="13" borderId="3" xfId="0" applyNumberFormat="1" applyFont="1" applyFill="1" applyBorder="1" applyProtection="1">
      <alignment horizontal="center" vertical="center"/>
    </xf>
    <xf numFmtId="164" fontId="10" fillId="13" borderId="2" xfId="0" applyNumberFormat="1" applyFont="1" applyFill="1" applyBorder="1" applyProtection="1">
      <alignment horizontal="center" vertical="center"/>
    </xf>
    <xf numFmtId="164" fontId="5" fillId="6" borderId="0" xfId="0" applyNumberFormat="1" applyFont="1" applyFill="1">
      <alignment horizontal="center" vertical="center"/>
    </xf>
    <xf numFmtId="164" fontId="5" fillId="6" borderId="2" xfId="0" applyNumberFormat="1" applyFont="1" applyFill="1" applyBorder="1" applyProtection="1">
      <alignment horizontal="center" vertical="center"/>
    </xf>
    <xf numFmtId="164" fontId="5" fillId="21" borderId="2" xfId="0" applyNumberFormat="1" applyFont="1" applyFill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 wrapText="1"/>
    </xf>
    <xf numFmtId="171" fontId="10" fillId="13" borderId="2" xfId="0" applyNumberFormat="1" applyFont="1" applyFill="1" applyBorder="1" applyProtection="1">
      <alignment horizontal="center" vertical="center"/>
    </xf>
    <xf numFmtId="171" fontId="10" fillId="13" borderId="3" xfId="0" applyNumberFormat="1" applyFont="1" applyFill="1" applyBorder="1" applyProtection="1">
      <alignment horizontal="center" vertical="center"/>
    </xf>
    <xf numFmtId="171" fontId="10" fillId="13" borderId="5" xfId="0" applyNumberFormat="1" applyFont="1" applyFill="1" applyBorder="1" applyProtection="1">
      <alignment horizontal="center" vertical="center"/>
    </xf>
    <xf numFmtId="164" fontId="5" fillId="2" borderId="1" xfId="0" applyNumberFormat="1" applyFont="1" applyFill="1" applyBorder="1" applyProtection="1">
      <alignment horizontal="center" vertical="center" wrapText="1"/>
    </xf>
    <xf numFmtId="164" fontId="10" fillId="13" borderId="2" xfId="0" applyNumberFormat="1" applyFont="1" applyFill="1" applyBorder="1" applyProtection="1">
      <alignment horizontal="center" vertical="center"/>
    </xf>
    <xf numFmtId="171" fontId="10" fillId="13" borderId="5" xfId="0" applyNumberFormat="1" applyFont="1" applyFill="1" applyBorder="1" applyProtection="1">
      <alignment horizontal="center" vertical="center"/>
    </xf>
    <xf numFmtId="164" fontId="10" fillId="13" borderId="3" xfId="0" applyNumberFormat="1" applyFont="1" applyFill="1" applyBorder="1" applyProtection="1">
      <alignment horizontal="center" vertical="center"/>
    </xf>
    <xf numFmtId="164" fontId="5" fillId="21" borderId="2" xfId="0" applyNumberFormat="1" applyFont="1" applyFill="1" applyBorder="1" applyProtection="1">
      <alignment horizontal="center" vertical="center"/>
    </xf>
    <xf numFmtId="164" fontId="5" fillId="22" borderId="2" xfId="0" applyNumberFormat="1" applyFont="1" applyFill="1" applyBorder="1" applyProtection="1">
      <alignment horizontal="center" vertical="center"/>
    </xf>
    <xf numFmtId="164" fontId="5" fillId="21" borderId="7" xfId="0" applyNumberFormat="1" applyFont="1" applyFill="1" applyBorder="1" applyProtection="1">
      <alignment horizontal="center" vertical="center"/>
    </xf>
    <xf numFmtId="0" fontId="22" fillId="3" borderId="2" xfId="0" applyFont="1" applyFill="1" applyBorder="1" applyProtection="1">
      <alignment horizontal="center" vertical="center"/>
    </xf>
    <xf numFmtId="164" fontId="9" fillId="23" borderId="2" xfId="0" applyNumberFormat="1" applyFont="1" applyFill="1" applyBorder="1" applyProtection="1">
      <alignment horizontal="general" vertical="center"/>
    </xf>
    <xf numFmtId="0" fontId="22" fillId="3" borderId="3" xfId="0" applyFont="1" applyFill="1" applyBorder="1" applyProtection="1">
      <alignment horizontal="center" vertical="center"/>
    </xf>
    <xf numFmtId="0" fontId="22" fillId="19" borderId="3" xfId="0" applyFont="1" applyFill="1" applyBorder="1" applyProtection="1">
      <alignment horizontal="center" vertical="center"/>
    </xf>
    <xf numFmtId="0" fontId="22" fillId="21" borderId="3" xfId="0" applyFont="1" applyFill="1" applyBorder="1" applyProtection="1">
      <alignment horizontal="center" vertical="center"/>
    </xf>
    <xf numFmtId="0" fontId="22" fillId="0" borderId="3" xfId="0" applyFont="1" applyBorder="1" applyProtection="1">
      <alignment horizontal="center" vertical="center"/>
    </xf>
    <xf numFmtId="0" fontId="22" fillId="21" borderId="2" xfId="0" applyFont="1" applyFill="1" applyBorder="1" applyProtection="1">
      <alignment horizontal="center" vertical="center"/>
    </xf>
    <xf numFmtId="164" fontId="6" fillId="24" borderId="16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19" xfId="0" applyNumberFormat="1" applyFont="1" applyFill="1" applyBorder="1" applyProtection="1">
      <alignment horizontal="center" vertical="center" wrapText="1"/>
    </xf>
    <xf numFmtId="164" fontId="6" fillId="24" borderId="20" xfId="0" applyNumberFormat="1" applyFont="1" applyFill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3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3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5" fontId="16" fillId="17" borderId="9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19" borderId="2" xfId="0" applyNumberFormat="1" applyFont="1" applyFill="1" applyBorder="1" applyProtection="1">
      <alignment horizontal="center" vertical="center" wrapText="1"/>
    </xf>
    <xf numFmtId="164" fontId="5" fillId="19" borderId="2" xfId="0" applyNumberFormat="1" applyFont="1" applyFill="1" applyBorder="1" applyProtection="1">
      <alignment horizontal="center" vertical="center" wrapText="1"/>
    </xf>
    <xf numFmtId="164" fontId="5" fillId="19" borderId="2" xfId="0" applyNumberFormat="1" applyFont="1" applyFill="1" applyBorder="1" applyProtection="1">
      <alignment horizontal="center" vertical="center" wrapText="1"/>
    </xf>
    <xf numFmtId="164" fontId="5" fillId="19" borderId="2" xfId="0" applyNumberFormat="1" applyFont="1" applyFill="1" applyBorder="1" applyProtection="1">
      <alignment horizontal="center" vertical="center" wrapText="1"/>
    </xf>
    <xf numFmtId="164" fontId="5" fillId="8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71" fontId="10" fillId="13" borderId="2" xfId="0" applyNumberFormat="1" applyFont="1" applyFill="1" applyBorder="1" applyProtection="1">
      <alignment horizontal="center" vertical="center"/>
    </xf>
    <xf numFmtId="171" fontId="10" fillId="13" borderId="3" xfId="0" applyNumberFormat="1" applyFont="1" applyFill="1" applyBorder="1" applyProtection="1">
      <alignment horizontal="center" vertical="center"/>
    </xf>
    <xf numFmtId="171" fontId="10" fillId="13" borderId="5" xfId="0" applyNumberFormat="1" applyFont="1" applyFill="1" applyBorder="1" applyProtection="1">
      <alignment horizontal="center" vertical="center"/>
    </xf>
    <xf numFmtId="164" fontId="5" fillId="2" borderId="1" xfId="0" applyNumberFormat="1" applyFont="1" applyFill="1" applyBorder="1" applyProtection="1">
      <alignment horizontal="center" vertical="center" wrapText="1"/>
    </xf>
    <xf numFmtId="164" fontId="10" fillId="13" borderId="2" xfId="0" applyNumberFormat="1" applyFont="1" applyFill="1" applyBorder="1" applyProtection="1">
      <alignment horizontal="center" vertical="center"/>
    </xf>
    <xf numFmtId="164" fontId="17" fillId="0" borderId="14" xfId="0" applyNumberFormat="1" applyFont="1" applyBorder="1" applyProtection="1">
      <alignment horizontal="center" vertical="center" wrapText="1"/>
    </xf>
    <xf numFmtId="164" fontId="17" fillId="0" borderId="14" xfId="0" applyNumberFormat="1" applyFont="1" applyBorder="1" applyProtection="1">
      <alignment horizontal="center" vertical="center" wrapText="1"/>
    </xf>
    <xf numFmtId="164" fontId="17" fillId="0" borderId="17" xfId="0" applyNumberFormat="1" applyFont="1" applyBorder="1" applyProtection="1">
      <alignment horizontal="center" vertical="center" wrapText="1"/>
    </xf>
    <xf numFmtId="164" fontId="17" fillId="24" borderId="13" xfId="0" applyNumberFormat="1" applyFont="1" applyFill="1" applyBorder="1" applyProtection="1">
      <alignment horizontal="center" vertical="center" wrapText="1"/>
    </xf>
    <xf numFmtId="164" fontId="17" fillId="24" borderId="14" xfId="0" applyNumberFormat="1" applyFont="1" applyFill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6" fillId="13" borderId="2" xfId="0" applyNumberFormat="1" applyFont="1" applyFill="1" applyBorder="1" applyProtection="1">
      <alignment horizontal="righ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5" fontId="5" fillId="0" borderId="5" xfId="0" applyNumberFormat="1" applyFont="1" applyBorder="1" applyProtection="1">
      <alignment horizontal="right" vertical="center" wrapText="1"/>
    </xf>
    <xf numFmtId="165" fontId="5" fillId="0" borderId="9" xfId="0" applyNumberFormat="1" applyFont="1" applyBorder="1" applyProtection="1">
      <alignment horizontal="right" vertical="center" wrapText="1"/>
    </xf>
    <xf numFmtId="164" fontId="5" fillId="0" borderId="5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 wrapText="1"/>
    </xf>
    <xf numFmtId="164" fontId="17" fillId="25" borderId="19" xfId="0" applyNumberFormat="1" applyFont="1" applyFill="1" applyBorder="1" applyProtection="1">
      <alignment horizontal="righ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8" fillId="0" borderId="5" xfId="0" applyNumberFormat="1" applyFont="1" applyBorder="1" applyProtection="1">
      <alignment horizontal="center" vertical="center" wrapText="1"/>
    </xf>
    <xf numFmtId="164" fontId="9" fillId="0" borderId="2" xfId="0" applyNumberFormat="1" applyFont="1" applyBorder="1" applyProtection="1">
      <alignment horizontal="left" vertical="center"/>
    </xf>
    <xf numFmtId="164" fontId="17" fillId="0" borderId="21" xfId="0" applyNumberFormat="1" applyFont="1" applyBorder="1" applyProtection="1">
      <alignment horizontal="center" vertical="center"/>
    </xf>
    <xf numFmtId="164" fontId="17" fillId="0" borderId="0" xfId="0" applyNumberFormat="1" applyFont="1">
      <alignment horizontal="center" vertical="center"/>
    </xf>
    <xf numFmtId="164" fontId="6" fillId="13" borderId="2" xfId="0" applyNumberFormat="1" applyFont="1" applyFill="1" applyBorder="1" applyProtection="1">
      <alignment horizontal="center" vertical="center"/>
    </xf>
    <xf numFmtId="171" fontId="10" fillId="13" borderId="3" xfId="0" applyNumberFormat="1" applyFont="1" applyFill="1" applyBorder="1" applyProtection="1">
      <alignment horizontal="center" vertical="center"/>
    </xf>
    <xf numFmtId="171" fontId="10" fillId="13" borderId="2" xfId="0" applyNumberFormat="1" applyFont="1" applyFill="1" applyBorder="1" applyProtection="1">
      <alignment horizontal="center" vertical="center"/>
    </xf>
    <xf numFmtId="171" fontId="10" fillId="13" borderId="5" xfId="0" applyNumberFormat="1" applyFont="1" applyFill="1" applyBorder="1" applyProtection="1">
      <alignment horizontal="center" vertical="center"/>
    </xf>
    <xf numFmtId="164" fontId="5" fillId="13" borderId="5" xfId="0" applyNumberFormat="1" applyFont="1" applyFill="1" applyBorder="1" applyProtection="1">
      <alignment horizontal="center" vertical="center" wrapText="1"/>
    </xf>
    <xf numFmtId="164" fontId="5" fillId="13" borderId="1" xfId="0" applyNumberFormat="1" applyFont="1" applyFill="1" applyBorder="1" applyProtection="1">
      <alignment horizontal="center" vertical="center" wrapText="1"/>
    </xf>
    <xf numFmtId="164" fontId="5" fillId="2" borderId="1" xfId="0" applyNumberFormat="1" applyFont="1" applyFill="1" applyBorder="1" applyProtection="1">
      <alignment horizontal="center" vertical="center" wrapText="1"/>
    </xf>
    <xf numFmtId="164" fontId="5" fillId="2" borderId="9" xfId="0" applyNumberFormat="1" applyFont="1" applyFill="1" applyBorder="1" applyProtection="1">
      <alignment horizontal="center" vertical="center" wrapText="1"/>
    </xf>
    <xf numFmtId="164" fontId="5" fillId="13" borderId="9" xfId="0" applyNumberFormat="1" applyFont="1" applyFill="1" applyBorder="1" applyProtection="1">
      <alignment horizontal="center" vertical="center" wrapText="1"/>
    </xf>
    <xf numFmtId="164" fontId="5" fillId="2" borderId="5" xfId="0" applyNumberFormat="1" applyFont="1" applyFill="1" applyBorder="1" applyProtection="1">
      <alignment horizontal="center" vertical="center" wrapText="1"/>
    </xf>
    <xf numFmtId="164" fontId="10" fillId="13" borderId="5" xfId="0" applyNumberFormat="1" applyFont="1" applyFill="1" applyBorder="1" applyProtection="1">
      <alignment horizontal="center" vertical="center"/>
    </xf>
    <xf numFmtId="164" fontId="10" fillId="13" borderId="3" xfId="0" applyNumberFormat="1" applyFont="1" applyFill="1" applyBorder="1" applyProtection="1">
      <alignment horizontal="center" vertical="center"/>
    </xf>
    <xf numFmtId="164" fontId="10" fillId="13" borderId="2" xfId="0" applyNumberFormat="1" applyFont="1" applyFill="1" applyBorder="1" applyProtection="1">
      <alignment horizontal="center" vertical="center"/>
    </xf>
    <xf numFmtId="0" fontId="4" fillId="0" borderId="10" xfId="0" applyFont="1" applyBorder="1" applyProtection="1">
      <alignment vertical="center"/>
    </xf>
    <xf numFmtId="164" fontId="9" fillId="22" borderId="2" xfId="0" applyNumberFormat="1" applyFont="1" applyFill="1" applyBorder="1" applyProtection="1">
      <alignment horizontal="general" vertical="center"/>
    </xf>
    <xf numFmtId="171" fontId="10" fillId="13" borderId="10" xfId="0" applyNumberFormat="1" applyFont="1" applyFill="1" applyBorder="1" applyProtection="1">
      <alignment horizontal="center" vertical="center"/>
    </xf>
    <xf numFmtId="0" fontId="4" fillId="0" borderId="4" xfId="0" applyFont="1" applyBorder="1" applyProtection="1">
      <alignment vertical="center"/>
    </xf>
    <xf numFmtId="171" fontId="10" fillId="13" borderId="4" xfId="0" applyNumberFormat="1" applyFont="1" applyFill="1" applyBorder="1" applyProtection="1">
      <alignment horizontal="center" vertical="center"/>
    </xf>
    <xf numFmtId="164" fontId="23" fillId="24" borderId="13" xfId="0" applyNumberFormat="1" applyFont="1" applyFill="1" applyBorder="1" applyProtection="1">
      <alignment horizontal="center" vertical="center" wrapText="1"/>
    </xf>
    <xf numFmtId="164" fontId="24" fillId="0" borderId="14" xfId="0" applyNumberFormat="1" applyFont="1" applyBorder="1" applyProtection="1">
      <alignment horizontal="center" vertical="center" wrapText="1"/>
    </xf>
    <xf numFmtId="164" fontId="25" fillId="24" borderId="16" xfId="0" applyNumberFormat="1" applyFont="1" applyFill="1" applyBorder="1" applyProtection="1">
      <alignment horizontal="center" vertical="center" wrapText="1"/>
    </xf>
    <xf numFmtId="164" fontId="26" fillId="24" borderId="19" xfId="0" applyNumberFormat="1" applyFont="1" applyFill="1" applyBorder="1" applyProtection="1">
      <alignment horizontal="center" vertical="center" wrapText="1"/>
    </xf>
    <xf numFmtId="164" fontId="27" fillId="24" borderId="19" xfId="0" applyNumberFormat="1" applyFont="1" applyFill="1" applyBorder="1" applyProtection="1">
      <alignment horizontal="center" vertical="center" wrapText="1"/>
    </xf>
    <xf numFmtId="164" fontId="28" fillId="24" borderId="19" xfId="0" applyNumberFormat="1" applyFont="1" applyFill="1" applyBorder="1" applyProtection="1">
      <alignment horizontal="center" vertical="center" wrapText="1"/>
    </xf>
    <xf numFmtId="164" fontId="29" fillId="24" borderId="19" xfId="0" applyNumberFormat="1" applyFont="1" applyFill="1" applyBorder="1" applyProtection="1">
      <alignment horizontal="center" vertical="center" wrapText="1"/>
    </xf>
    <xf numFmtId="164" fontId="30" fillId="24" borderId="19" xfId="0" applyNumberFormat="1" applyFont="1" applyFill="1" applyBorder="1" applyProtection="1">
      <alignment horizontal="center" vertical="center" wrapText="1"/>
    </xf>
    <xf numFmtId="164" fontId="31" fillId="24" borderId="19" xfId="0" applyNumberFormat="1" applyFont="1" applyFill="1" applyBorder="1" applyProtection="1">
      <alignment horizontal="center" vertical="center" wrapText="1"/>
    </xf>
    <xf numFmtId="164" fontId="32" fillId="24" borderId="19" xfId="0" applyNumberFormat="1" applyFont="1" applyFill="1" applyBorder="1" applyProtection="1">
      <alignment horizontal="center" vertical="center" wrapText="1"/>
    </xf>
    <xf numFmtId="164" fontId="33" fillId="24" borderId="19" xfId="0" applyNumberFormat="1" applyFont="1" applyFill="1" applyBorder="1" applyProtection="1">
      <alignment horizontal="center" vertical="center" wrapText="1"/>
    </xf>
    <xf numFmtId="164" fontId="34" fillId="24" borderId="19" xfId="0" applyNumberFormat="1" applyFont="1" applyFill="1" applyBorder="1" applyProtection="1">
      <alignment horizontal="center" vertical="center" wrapText="1"/>
    </xf>
    <xf numFmtId="164" fontId="35" fillId="24" borderId="19" xfId="0" applyNumberFormat="1" applyFont="1" applyFill="1" applyBorder="1" applyProtection="1">
      <alignment horizontal="center" vertical="center" wrapText="1"/>
    </xf>
    <xf numFmtId="164" fontId="36" fillId="24" borderId="20" xfId="0" applyNumberFormat="1" applyFont="1" applyFill="1" applyBorder="1" applyProtection="1">
      <alignment horizontal="center" vertical="center" wrapText="1"/>
    </xf>
    <xf numFmtId="164" fontId="37" fillId="0" borderId="14" xfId="0" applyNumberFormat="1" applyFont="1" applyBorder="1" applyProtection="1">
      <alignment horizontal="center" vertical="center" wrapText="1"/>
    </xf>
    <xf numFmtId="164" fontId="38" fillId="0" borderId="14" xfId="0" applyNumberFormat="1" applyFont="1" applyBorder="1" applyProtection="1">
      <alignment horizontal="center" vertical="center" wrapText="1"/>
    </xf>
    <xf numFmtId="164" fontId="39" fillId="0" borderId="14" xfId="0" applyNumberFormat="1" applyFont="1" applyBorder="1" applyProtection="1">
      <alignment horizontal="center" vertical="center" wrapText="1"/>
    </xf>
    <xf numFmtId="164" fontId="40" fillId="0" borderId="9" xfId="0" applyNumberFormat="1" applyFont="1" applyBorder="1" applyProtection="1">
      <alignment horizontal="center" vertical="center" wrapText="1"/>
    </xf>
    <xf numFmtId="164" fontId="41" fillId="0" borderId="9" xfId="0" applyNumberFormat="1" applyFont="1" applyBorder="1" applyProtection="1">
      <alignment horizontal="center" vertical="center" wrapText="1"/>
    </xf>
    <xf numFmtId="164" fontId="42" fillId="3" borderId="2" xfId="0" applyNumberFormat="1" applyFont="1" applyFill="1" applyBorder="1" applyProtection="1">
      <alignment horizontal="center" vertical="center" wrapText="1"/>
    </xf>
    <xf numFmtId="164" fontId="43" fillId="0" borderId="2" xfId="0" applyNumberFormat="1" applyFont="1" applyBorder="1" applyProtection="1">
      <alignment horizontal="left" vertical="center" wrapText="1"/>
    </xf>
    <xf numFmtId="164" fontId="44" fillId="0" borderId="9" xfId="0" applyNumberFormat="1" applyFont="1" applyBorder="1" applyProtection="1">
      <alignment horizontal="center" vertical="center" wrapText="1"/>
    </xf>
    <xf numFmtId="164" fontId="45" fillId="3" borderId="2" xfId="0" applyNumberFormat="1" applyFont="1" applyFill="1" applyBorder="1" applyProtection="1">
      <alignment horizontal="center" vertical="center" wrapText="1"/>
    </xf>
    <xf numFmtId="164" fontId="46" fillId="0" borderId="2" xfId="0" applyNumberFormat="1" applyFont="1" applyBorder="1" applyProtection="1">
      <alignment horizontal="center" vertical="center" wrapText="1"/>
    </xf>
    <xf numFmtId="164" fontId="47" fillId="0" borderId="2" xfId="0" applyNumberFormat="1" applyFont="1" applyBorder="1" applyProtection="1">
      <alignment horizontal="center" vertical="center" wrapText="1"/>
    </xf>
    <xf numFmtId="164" fontId="48" fillId="0" borderId="2" xfId="0" applyNumberFormat="1" applyFont="1" applyBorder="1" applyProtection="1">
      <alignment horizontal="center" vertical="center" wrapText="1"/>
    </xf>
    <xf numFmtId="164" fontId="49" fillId="0" borderId="2" xfId="0" applyNumberFormat="1" applyFont="1" applyBorder="1" applyProtection="1">
      <alignment horizontal="center" vertical="center" wrapText="1"/>
    </xf>
    <xf numFmtId="164" fontId="50" fillId="0" borderId="2" xfId="0" applyNumberFormat="1" applyFont="1" applyBorder="1" applyProtection="1">
      <alignment horizontal="center" vertical="center" wrapText="1"/>
    </xf>
    <xf numFmtId="164" fontId="51" fillId="0" borderId="2" xfId="0" applyNumberFormat="1" applyFont="1" applyBorder="1" applyProtection="1">
      <alignment horizontal="center" vertical="center" wrapText="1"/>
    </xf>
    <xf numFmtId="164" fontId="52" fillId="0" borderId="2" xfId="0" applyNumberFormat="1" applyFont="1" applyBorder="1" applyProtection="1">
      <alignment horizontal="left" vertical="center" wrapText="1"/>
    </xf>
    <xf numFmtId="164" fontId="53" fillId="0" borderId="2" xfId="0" applyNumberFormat="1" applyFont="1" applyBorder="1" applyProtection="1">
      <alignment horizontal="center" vertical="center" wrapText="1"/>
    </xf>
    <xf numFmtId="164" fontId="54" fillId="0" borderId="2" xfId="0" applyNumberFormat="1" applyFont="1" applyBorder="1" applyProtection="1">
      <alignment horizontal="center" vertical="center" wrapText="1"/>
    </xf>
    <xf numFmtId="164" fontId="55" fillId="0" borderId="2" xfId="0" applyNumberFormat="1" applyFont="1" applyBorder="1" applyProtection="1">
      <alignment horizontal="left" vertical="center" wrapText="1"/>
    </xf>
    <xf numFmtId="164" fontId="56" fillId="0" borderId="2" xfId="0" applyNumberFormat="1" applyFont="1" applyBorder="1" applyProtection="1">
      <alignment horizontal="center" vertical="center" wrapText="1"/>
    </xf>
    <xf numFmtId="164" fontId="57" fillId="0" borderId="2" xfId="0" applyNumberFormat="1" applyFont="1" applyBorder="1" applyProtection="1">
      <alignment horizontal="center" vertical="center" wrapText="1"/>
    </xf>
    <xf numFmtId="164" fontId="58" fillId="0" borderId="2" xfId="0" applyNumberFormat="1" applyFont="1" applyBorder="1" applyProtection="1">
      <alignment horizontal="left" vertical="center" wrapText="1"/>
    </xf>
    <xf numFmtId="164" fontId="59" fillId="0" borderId="2" xfId="0" applyNumberFormat="1" applyFont="1" applyBorder="1" applyProtection="1">
      <alignment horizontal="center" vertical="center" wrapText="1"/>
    </xf>
    <xf numFmtId="164" fontId="60" fillId="0" borderId="9" xfId="0" applyNumberFormat="1" applyFont="1" applyBorder="1" applyProtection="1">
      <alignment horizontal="center" vertical="center" wrapText="1"/>
    </xf>
    <xf numFmtId="164" fontId="61" fillId="0" borderId="9" xfId="0" applyNumberFormat="1" applyFont="1" applyBorder="1" applyProtection="1">
      <alignment horizontal="center" vertical="center" wrapText="1"/>
    </xf>
    <xf numFmtId="164" fontId="62" fillId="0" borderId="9" xfId="0" applyNumberFormat="1" applyFont="1" applyBorder="1" applyProtection="1">
      <alignment horizontal="center" vertical="center" wrapText="1"/>
    </xf>
    <xf numFmtId="164" fontId="63" fillId="0" borderId="9" xfId="0" applyNumberFormat="1" applyFont="1" applyBorder="1" applyProtection="1">
      <alignment horizontal="center" vertical="center" wrapText="1"/>
    </xf>
    <xf numFmtId="164" fontId="64" fillId="0" borderId="9" xfId="0" applyNumberFormat="1" applyFont="1" applyBorder="1" applyProtection="1">
      <alignment horizontal="center" vertical="center" wrapText="1"/>
    </xf>
    <xf numFmtId="164" fontId="65" fillId="0" borderId="9" xfId="0" applyNumberFormat="1" applyFont="1" applyBorder="1" applyProtection="1">
      <alignment horizontal="center" vertical="center" wrapText="1"/>
    </xf>
    <xf numFmtId="164" fontId="66" fillId="0" borderId="2" xfId="0" applyNumberFormat="1" applyFont="1" applyBorder="1" applyProtection="1">
      <alignment horizontal="center" vertical="center" wrapText="1"/>
    </xf>
    <xf numFmtId="164" fontId="67" fillId="0" borderId="2" xfId="0" applyNumberFormat="1" applyFont="1" applyBorder="1" applyProtection="1">
      <alignment horizontal="center" vertical="center" wrapText="1"/>
    </xf>
    <xf numFmtId="164" fontId="68" fillId="0" borderId="2" xfId="0" applyNumberFormat="1" applyFont="1" applyBorder="1" applyProtection="1">
      <alignment horizontal="left" vertical="center" wrapText="1"/>
    </xf>
    <xf numFmtId="164" fontId="69" fillId="0" borderId="2" xfId="0" applyNumberFormat="1" applyFont="1" applyBorder="1" applyProtection="1">
      <alignment horizontal="center" vertical="center" wrapText="1"/>
    </xf>
    <xf numFmtId="164" fontId="70" fillId="0" borderId="2" xfId="0" applyNumberFormat="1" applyFont="1" applyBorder="1" applyProtection="1">
      <alignment horizontal="center" vertical="center" wrapText="1"/>
    </xf>
    <xf numFmtId="164" fontId="71" fillId="0" borderId="2" xfId="0" applyNumberFormat="1" applyFont="1" applyBorder="1" applyProtection="1">
      <alignment horizontal="center" vertical="center" wrapText="1"/>
    </xf>
    <xf numFmtId="164" fontId="72" fillId="0" borderId="5" xfId="0" applyNumberFormat="1" applyFont="1" applyBorder="1" applyProtection="1">
      <alignment horizontal="center" vertical="center" wrapText="1"/>
    </xf>
    <xf numFmtId="164" fontId="73" fillId="0" borderId="2" xfId="0" applyNumberFormat="1" applyFont="1" applyBorder="1" applyProtection="1">
      <alignment horizontal="center" vertical="center" wrapText="1"/>
    </xf>
    <xf numFmtId="164" fontId="74" fillId="0" borderId="2" xfId="0" applyNumberFormat="1" applyFont="1" applyBorder="1" applyProtection="1">
      <alignment horizontal="center" vertical="center" wrapText="1"/>
    </xf>
    <xf numFmtId="164" fontId="75" fillId="0" borderId="2" xfId="0" applyNumberFormat="1" applyFont="1" applyBorder="1" applyProtection="1">
      <alignment horizontal="center" vertical="center" wrapText="1"/>
    </xf>
    <xf numFmtId="164" fontId="76" fillId="0" borderId="2" xfId="0" applyNumberFormat="1" applyFont="1" applyBorder="1" applyProtection="1">
      <alignment horizontal="center" vertical="center" wrapText="1"/>
    </xf>
    <xf numFmtId="164" fontId="77" fillId="0" borderId="2" xfId="0" applyNumberFormat="1" applyFont="1" applyBorder="1" applyProtection="1">
      <alignment horizontal="center" vertical="center" wrapText="1"/>
    </xf>
    <xf numFmtId="164" fontId="78" fillId="0" borderId="2" xfId="0" applyNumberFormat="1" applyFont="1" applyBorder="1" applyProtection="1">
      <alignment horizontal="center" vertical="center" wrapText="1"/>
    </xf>
    <xf numFmtId="165" fontId="79" fillId="17" borderId="9" xfId="0" applyNumberFormat="1" applyFont="1" applyFill="1" applyBorder="1" applyProtection="1">
      <alignment horizontal="center" vertical="center" wrapText="1"/>
    </xf>
    <xf numFmtId="164" fontId="80" fillId="0" borderId="2" xfId="0" applyNumberFormat="1" applyFont="1" applyBorder="1" applyProtection="1">
      <alignment horizontal="center" vertical="center" wrapText="1"/>
    </xf>
    <xf numFmtId="164" fontId="81" fillId="0" borderId="2" xfId="0" applyNumberFormat="1" applyFont="1" applyBorder="1" applyProtection="1">
      <alignment horizontal="center" vertical="center" wrapText="1"/>
    </xf>
    <xf numFmtId="164" fontId="82" fillId="0" borderId="2" xfId="0" applyNumberFormat="1" applyFont="1" applyBorder="1" applyProtection="1">
      <alignment horizontal="center" vertical="center" wrapText="1"/>
    </xf>
    <xf numFmtId="164" fontId="83" fillId="0" borderId="2" xfId="0" applyNumberFormat="1" applyFont="1" applyBorder="1" applyProtection="1">
      <alignment horizontal="center" vertical="center" wrapText="1"/>
    </xf>
    <xf numFmtId="164" fontId="84" fillId="0" borderId="2" xfId="0" applyNumberFormat="1" applyFont="1" applyBorder="1" applyProtection="1">
      <alignment horizontal="left" vertical="center" wrapText="1"/>
    </xf>
    <xf numFmtId="164" fontId="85" fillId="0" borderId="2" xfId="0" applyNumberFormat="1" applyFont="1" applyBorder="1" applyProtection="1">
      <alignment horizontal="center" vertical="center" wrapText="1"/>
    </xf>
    <xf numFmtId="164" fontId="86" fillId="0" borderId="2" xfId="0" applyNumberFormat="1" applyFont="1" applyBorder="1" applyProtection="1">
      <alignment horizontal="center" vertical="center" wrapText="1"/>
    </xf>
    <xf numFmtId="164" fontId="87" fillId="0" borderId="2" xfId="0" applyNumberFormat="1" applyFont="1" applyBorder="1" applyProtection="1">
      <alignment horizontal="left" vertical="center" wrapText="1"/>
    </xf>
    <xf numFmtId="164" fontId="88" fillId="0" borderId="2" xfId="0" applyNumberFormat="1" applyFont="1" applyBorder="1" applyProtection="1">
      <alignment horizontal="center" vertical="center" wrapText="1"/>
    </xf>
    <xf numFmtId="164" fontId="89" fillId="0" borderId="2" xfId="0" applyNumberFormat="1" applyFont="1" applyBorder="1" applyProtection="1">
      <alignment horizontal="center" vertical="center" wrapText="1"/>
    </xf>
    <xf numFmtId="164" fontId="90" fillId="0" borderId="2" xfId="0" applyNumberFormat="1" applyFont="1" applyBorder="1" applyProtection="1">
      <alignment horizontal="left" vertical="center" wrapText="1"/>
    </xf>
    <xf numFmtId="164" fontId="91" fillId="0" borderId="2" xfId="0" applyNumberFormat="1" applyFont="1" applyBorder="1" applyProtection="1">
      <alignment horizontal="center" vertical="center" wrapText="1"/>
    </xf>
    <xf numFmtId="164" fontId="92" fillId="0" borderId="2" xfId="0" applyNumberFormat="1" applyFont="1" applyBorder="1" applyProtection="1">
      <alignment horizontal="center" vertical="center" wrapText="1"/>
    </xf>
    <xf numFmtId="164" fontId="93" fillId="0" borderId="2" xfId="0" applyNumberFormat="1" applyFont="1" applyBorder="1" applyProtection="1">
      <alignment horizontal="center" vertical="center" wrapText="1"/>
    </xf>
    <xf numFmtId="164" fontId="94" fillId="0" borderId="2" xfId="0" applyNumberFormat="1" applyFont="1" applyBorder="1" applyProtection="1">
      <alignment horizontal="center" vertical="center" wrapText="1"/>
    </xf>
    <xf numFmtId="164" fontId="95" fillId="0" borderId="2" xfId="0" applyNumberFormat="1" applyFont="1" applyBorder="1" applyProtection="1">
      <alignment horizontal="left" vertical="center" wrapText="1"/>
    </xf>
    <xf numFmtId="164" fontId="96" fillId="0" borderId="2" xfId="0" applyNumberFormat="1" applyFont="1" applyBorder="1" applyProtection="1">
      <alignment horizontal="center" vertical="center" wrapText="1"/>
    </xf>
    <xf numFmtId="164" fontId="97" fillId="0" borderId="5" xfId="0" applyNumberFormat="1" applyFont="1" applyBorder="1" applyProtection="1">
      <alignment horizontal="center" vertical="center" wrapText="1"/>
    </xf>
    <xf numFmtId="164" fontId="98" fillId="0" borderId="2" xfId="0" applyNumberFormat="1" applyFont="1" applyBorder="1" applyProtection="1">
      <alignment horizontal="center" vertical="center" wrapText="1"/>
    </xf>
    <xf numFmtId="164" fontId="99" fillId="0" borderId="2" xfId="0" applyNumberFormat="1" applyFont="1" applyBorder="1" applyProtection="1">
      <alignment horizontal="center" vertical="center" wrapText="1"/>
    </xf>
    <xf numFmtId="164" fontId="100" fillId="0" borderId="2" xfId="0" applyNumberFormat="1" applyFont="1" applyBorder="1" applyProtection="1">
      <alignment horizontal="center" vertical="center" wrapText="1"/>
    </xf>
    <xf numFmtId="164" fontId="101" fillId="0" borderId="2" xfId="0" applyNumberFormat="1" applyFont="1" applyBorder="1" applyProtection="1">
      <alignment horizontal="center" vertical="center" wrapText="1"/>
    </xf>
    <xf numFmtId="164" fontId="102" fillId="0" borderId="2" xfId="0" applyNumberFormat="1" applyFont="1" applyBorder="1" applyProtection="1">
      <alignment horizontal="center" vertical="center" wrapText="1"/>
    </xf>
    <xf numFmtId="164" fontId="103" fillId="0" borderId="2" xfId="0" applyNumberFormat="1" applyFont="1" applyBorder="1" applyProtection="1">
      <alignment horizontal="left" vertical="center" wrapText="1"/>
    </xf>
    <xf numFmtId="164" fontId="104" fillId="0" borderId="2" xfId="0" applyNumberFormat="1" applyFont="1" applyBorder="1" applyProtection="1">
      <alignment horizontal="center" vertical="center" wrapText="1"/>
    </xf>
    <xf numFmtId="164" fontId="105" fillId="0" borderId="2" xfId="0" applyNumberFormat="1" applyFont="1" applyBorder="1" applyProtection="1">
      <alignment horizontal="left" vertical="center" wrapText="1"/>
    </xf>
    <xf numFmtId="164" fontId="106" fillId="0" borderId="2" xfId="0" applyNumberFormat="1" applyFont="1" applyBorder="1" applyProtection="1">
      <alignment horizontal="center" vertical="center" wrapText="1"/>
    </xf>
    <xf numFmtId="164" fontId="107" fillId="0" borderId="2" xfId="0" applyNumberFormat="1" applyFont="1" applyBorder="1" applyProtection="1">
      <alignment horizontal="center" vertical="center" wrapText="1"/>
    </xf>
    <xf numFmtId="164" fontId="108" fillId="0" borderId="2" xfId="0" applyNumberFormat="1" applyFont="1" applyBorder="1" applyProtection="1">
      <alignment horizontal="left" vertical="center" wrapText="1"/>
    </xf>
    <xf numFmtId="164" fontId="109" fillId="0" borderId="2" xfId="0" applyNumberFormat="1" applyFont="1" applyBorder="1" applyProtection="1">
      <alignment horizontal="center" vertical="center" wrapText="1"/>
    </xf>
    <xf numFmtId="164" fontId="110" fillId="0" borderId="2" xfId="0" applyNumberFormat="1" applyFont="1" applyBorder="1" applyProtection="1">
      <alignment horizontal="left" vertical="center" wrapText="1"/>
    </xf>
    <xf numFmtId="164" fontId="111" fillId="0" borderId="2" xfId="0" applyNumberFormat="1" applyFont="1" applyBorder="1" applyProtection="1">
      <alignment horizontal="center" vertical="center" wrapText="1"/>
    </xf>
    <xf numFmtId="164" fontId="112" fillId="0" borderId="2" xfId="0" applyNumberFormat="1" applyFont="1" applyBorder="1" applyProtection="1">
      <alignment horizontal="left" vertical="center" wrapText="1"/>
    </xf>
    <xf numFmtId="164" fontId="113" fillId="19" borderId="2" xfId="0" applyNumberFormat="1" applyFont="1" applyFill="1" applyBorder="1" applyProtection="1">
      <alignment horizontal="center" vertical="center" wrapText="1"/>
    </xf>
    <xf numFmtId="164" fontId="114" fillId="19" borderId="2" xfId="0" applyNumberFormat="1" applyFont="1" applyFill="1" applyBorder="1" applyProtection="1">
      <alignment horizontal="center" vertical="center" wrapText="1"/>
    </xf>
    <xf numFmtId="164" fontId="115" fillId="19" borderId="2" xfId="0" applyNumberFormat="1" applyFont="1" applyFill="1" applyBorder="1" applyProtection="1">
      <alignment horizontal="center" vertical="center" wrapText="1"/>
    </xf>
    <xf numFmtId="164" fontId="116" fillId="19" borderId="2" xfId="0" applyNumberFormat="1" applyFont="1" applyFill="1" applyBorder="1" applyProtection="1">
      <alignment horizontal="center" vertical="center" wrapText="1"/>
    </xf>
    <xf numFmtId="164" fontId="117" fillId="19" borderId="2" xfId="0" applyNumberFormat="1" applyFont="1" applyFill="1" applyBorder="1" applyProtection="1">
      <alignment horizontal="center" vertical="center" wrapText="1"/>
    </xf>
    <xf numFmtId="164" fontId="118" fillId="19" borderId="2" xfId="0" applyNumberFormat="1" applyFont="1" applyFill="1" applyBorder="1" applyProtection="1">
      <alignment horizontal="center" vertical="center" wrapText="1"/>
    </xf>
    <xf numFmtId="164" fontId="119" fillId="8" borderId="2" xfId="0" applyNumberFormat="1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styles" Target="styles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2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2</xdr:row>
      <xdr:rowOff>0</xdr:rowOff>
    </xdr:from>
    <xdr:ext cx="3886023" cy="53168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5762625" y="400050"/>
          <a:ext cx="3886023" cy="53168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H3" activePane="bottomRight" state="frozen" xSplit="7" ySplit="2"/>
    </sheetView>
  </sheetViews>
  <sheetFormatPr baseColWidth="10" defaultColWidth="8.8330078125" defaultRowHeight="39.9525" customHeight="1"/>
  <cols>
    <col min="1" max="1" width="5.666015625" customWidth="1" style="129"/>
    <col min="2" max="2" width="22.998046875" customWidth="1" style="129"/>
    <col min="3" max="3" width="25.8310546875" customWidth="1" style="130"/>
    <col min="4" max="4" width="52.6640625" customWidth="1" style="130"/>
    <col min="5" max="5" width="8.1650390625" customWidth="1" style="130"/>
    <col min="6" max="6" width="7.166015625" customWidth="1" style="130"/>
    <col min="7" max="7" width="28.166015625" customWidth="1" style="130"/>
    <col min="8" max="8" width="12.498046875" customWidth="1" style="130"/>
    <col min="9" max="9" width="12.6650390625" customWidth="1" style="127"/>
    <col min="10" max="11" width="13.6640625" customWidth="1" style="131"/>
    <col min="12" max="12" width="20.666015625" customWidth="1" style="132"/>
    <col min="13" max="13" width="20.666015625" customWidth="1" style="129"/>
    <col min="14" max="25" width="8.8330078125" style="129"/>
    <col min="26" max="35" width="8.8330078125" style="133"/>
  </cols>
  <sheetData>
    <row r="1" ht="39.95" customHeight="1">
      <c r="A1" s="379" t="s">
        <v>0</v>
      </c>
      <c r="B1" s="341"/>
      <c r="C1" s="341"/>
      <c r="D1" s="341"/>
      <c r="E1" s="341"/>
      <c r="F1" s="341"/>
      <c r="G1" s="341"/>
      <c r="H1" s="341"/>
      <c r="I1" s="380" t="s">
        <v>1</v>
      </c>
      <c r="J1" s="338"/>
      <c r="K1" s="338"/>
      <c r="L1" s="339"/>
    </row>
    <row r="2" ht="44.45000000000001" customHeight="1">
      <c r="A2" s="381" t="s">
        <v>2</v>
      </c>
      <c r="B2" s="382" t="s">
        <v>3</v>
      </c>
      <c r="C2" s="383" t="s">
        <v>4</v>
      </c>
      <c r="D2" s="384" t="s">
        <v>5</v>
      </c>
      <c r="E2" s="385" t="s">
        <v>6</v>
      </c>
      <c r="F2" s="386" t="s">
        <v>7</v>
      </c>
      <c r="G2" s="387" t="s">
        <v>8</v>
      </c>
      <c r="H2" s="388" t="s">
        <v>9</v>
      </c>
      <c r="I2" s="389" t="s">
        <v>10</v>
      </c>
      <c r="J2" s="390" t="s">
        <v>11</v>
      </c>
      <c r="K2" s="391" t="s">
        <v>12</v>
      </c>
      <c r="L2" s="392" t="s">
        <v>9</v>
      </c>
      <c r="M2" s="129" t="s">
        <v>13</v>
      </c>
    </row>
    <row r="3" ht="51" customHeight="1">
      <c r="A3" s="134" t="n">
        <f>ROW()-2</f>
        <v>1</v>
      </c>
      <c r="B3" s="393" t="s">
        <v>14</v>
      </c>
      <c r="C3" s="394" t="s">
        <v>15</v>
      </c>
      <c r="D3" s="136" t="s">
        <v>16</v>
      </c>
      <c r="E3" s="135" t="n">
        <v>1</v>
      </c>
      <c r="F3" s="135" t="s">
        <v>17</v>
      </c>
      <c r="G3" s="395" t="s">
        <v>18</v>
      </c>
      <c r="H3" s="135" t="s">
        <v>19</v>
      </c>
      <c r="I3" s="148" t="n">
        <v>36000</v>
      </c>
      <c r="J3" s="149"/>
      <c r="K3" s="150" t="n">
        <f>I3*E3+J3</f>
        <v>36000</v>
      </c>
      <c r="L3" s="151"/>
      <c r="M3" s="129" t="s">
        <v>20</v>
      </c>
    </row>
    <row r="4" ht="54" customHeight="1">
      <c r="A4" s="137" t="n">
        <f>ROW()-2</f>
        <v>2</v>
      </c>
      <c r="B4" s="343"/>
      <c r="C4" s="396" t="s">
        <v>15</v>
      </c>
      <c r="D4" s="136" t="s">
        <v>21</v>
      </c>
      <c r="E4" s="139" t="n">
        <v>1</v>
      </c>
      <c r="F4" s="139" t="s">
        <v>17</v>
      </c>
      <c r="G4" s="397" t="s">
        <v>18</v>
      </c>
      <c r="H4" s="139" t="s">
        <v>19</v>
      </c>
      <c r="I4" s="152" t="n">
        <v>36000</v>
      </c>
      <c r="J4" s="153"/>
      <c r="K4" s="154" t="n">
        <f>I4*E4+J4</f>
        <v>36000</v>
      </c>
      <c r="L4" s="155"/>
      <c r="M4" s="129" t="s">
        <v>20</v>
      </c>
    </row>
    <row r="5" ht="39.95" customHeight="1">
      <c r="A5" s="137" t="n">
        <f>ROW()-2</f>
        <v>3</v>
      </c>
      <c r="B5" s="343"/>
      <c r="C5" s="398" t="s">
        <v>22</v>
      </c>
      <c r="D5" s="399" t="s">
        <v>23</v>
      </c>
      <c r="E5" s="139" t="n">
        <v>1</v>
      </c>
      <c r="F5" s="139" t="s">
        <v>17</v>
      </c>
      <c r="G5" s="400" t="s">
        <v>24</v>
      </c>
      <c r="H5" s="139" t="s">
        <v>19</v>
      </c>
      <c r="I5" s="152" t="n">
        <v>35000</v>
      </c>
      <c r="J5" s="153"/>
      <c r="K5" s="154" t="n">
        <f>I5*E5+J5</f>
        <v>35000</v>
      </c>
      <c r="L5" s="155"/>
      <c r="M5" s="129" t="s">
        <v>20</v>
      </c>
    </row>
    <row r="6" ht="52.5" customHeight="1">
      <c r="A6" s="137" t="n">
        <f>ROW()-2</f>
        <v>4</v>
      </c>
      <c r="B6" s="343"/>
      <c r="C6" s="401" t="s">
        <v>25</v>
      </c>
      <c r="D6" s="136" t="s">
        <v>26</v>
      </c>
      <c r="E6" s="138" t="n">
        <v>1</v>
      </c>
      <c r="F6" s="138" t="s">
        <v>17</v>
      </c>
      <c r="G6" s="402" t="s">
        <v>27</v>
      </c>
      <c r="H6" s="138" t="s">
        <v>19</v>
      </c>
      <c r="I6" s="156" t="n">
        <v>165000</v>
      </c>
      <c r="J6" s="153"/>
      <c r="K6" s="157" t="n">
        <f>I6*E6+J6</f>
        <v>165000</v>
      </c>
      <c r="L6" s="158" t="s">
        <v>28</v>
      </c>
      <c r="M6" s="129" t="s">
        <v>20</v>
      </c>
    </row>
    <row r="7" ht="59.25" customHeight="1">
      <c r="A7" s="137" t="n">
        <f>ROW()-2</f>
        <v>5</v>
      </c>
      <c r="B7" s="343"/>
      <c r="C7" s="403" t="s">
        <v>29</v>
      </c>
      <c r="D7" s="136" t="s">
        <v>30</v>
      </c>
      <c r="E7" s="138" t="n">
        <v>1</v>
      </c>
      <c r="F7" s="138" t="s">
        <v>17</v>
      </c>
      <c r="G7" s="404" t="s">
        <v>27</v>
      </c>
      <c r="H7" s="138" t="s">
        <v>19</v>
      </c>
      <c r="I7" s="156" t="n">
        <v>150000</v>
      </c>
      <c r="J7" s="153"/>
      <c r="K7" s="157" t="n">
        <f>I7*E7+J7</f>
        <v>150000</v>
      </c>
      <c r="L7" s="159" t="s">
        <v>31</v>
      </c>
      <c r="M7" s="129" t="s">
        <v>20</v>
      </c>
    </row>
    <row r="8" ht="59.25" customHeight="1">
      <c r="A8" s="137" t="n">
        <f>ROW()-2</f>
        <v>6</v>
      </c>
      <c r="B8" s="343"/>
      <c r="C8" s="405" t="s">
        <v>32</v>
      </c>
      <c r="D8" s="136" t="s">
        <v>33</v>
      </c>
      <c r="E8" s="138" t="n">
        <v>1</v>
      </c>
      <c r="F8" s="138" t="s">
        <v>17</v>
      </c>
      <c r="G8" s="406" t="s">
        <v>27</v>
      </c>
      <c r="H8" s="138" t="s">
        <v>19</v>
      </c>
      <c r="I8" s="156" t="n">
        <v>150000</v>
      </c>
      <c r="J8" s="153"/>
      <c r="K8" s="157" t="n">
        <f>I8*E8+J8</f>
        <v>150000</v>
      </c>
      <c r="L8" s="159" t="s">
        <v>31</v>
      </c>
      <c r="M8" s="129" t="s">
        <v>20</v>
      </c>
    </row>
    <row r="9" ht="39.95" customHeight="1">
      <c r="A9" s="137" t="n">
        <f>ROW()-2</f>
        <v>7</v>
      </c>
      <c r="B9" s="343"/>
      <c r="C9" s="407" t="s">
        <v>34</v>
      </c>
      <c r="D9" s="408" t="s">
        <v>35</v>
      </c>
      <c r="E9" s="138" t="n">
        <v>1</v>
      </c>
      <c r="F9" s="138" t="s">
        <v>17</v>
      </c>
      <c r="G9" s="409" t="s">
        <v>36</v>
      </c>
      <c r="H9" s="138" t="s">
        <v>19</v>
      </c>
      <c r="I9" s="156" t="n">
        <v>75000</v>
      </c>
      <c r="J9" s="153"/>
      <c r="K9" s="157" t="n">
        <f>I9*E9+J9</f>
        <v>75000</v>
      </c>
      <c r="L9" s="160"/>
      <c r="M9" s="129" t="s">
        <v>20</v>
      </c>
    </row>
    <row r="10" ht="39.95" customHeight="1">
      <c r="A10" s="137" t="n">
        <f>ROW()-2</f>
        <v>8</v>
      </c>
      <c r="B10" s="343"/>
      <c r="C10" s="410" t="s">
        <v>37</v>
      </c>
      <c r="D10" s="411" t="s">
        <v>38</v>
      </c>
      <c r="E10" s="138" t="n">
        <v>1</v>
      </c>
      <c r="F10" s="138" t="s">
        <v>17</v>
      </c>
      <c r="G10" s="412" t="s">
        <v>39</v>
      </c>
      <c r="H10" s="138" t="s">
        <v>19</v>
      </c>
      <c r="I10" s="156" t="n">
        <v>68000</v>
      </c>
      <c r="J10" s="153"/>
      <c r="K10" s="157" t="n">
        <f>I10*E10+J10</f>
        <v>68000</v>
      </c>
      <c r="L10" s="160"/>
      <c r="M10" s="129" t="s">
        <v>20</v>
      </c>
    </row>
    <row r="11" ht="39.95" customHeight="1">
      <c r="A11" s="137" t="n">
        <f>ROW()-2</f>
        <v>9</v>
      </c>
      <c r="B11" s="343"/>
      <c r="C11" s="413" t="s">
        <v>40</v>
      </c>
      <c r="D11" s="414" t="s">
        <v>41</v>
      </c>
      <c r="E11" s="138" t="n">
        <v>1</v>
      </c>
      <c r="F11" s="138" t="s">
        <v>17</v>
      </c>
      <c r="G11" s="415" t="s">
        <v>42</v>
      </c>
      <c r="H11" s="138" t="s">
        <v>19</v>
      </c>
      <c r="I11" s="156" t="n">
        <v>25000</v>
      </c>
      <c r="J11" s="153"/>
      <c r="K11" s="157" t="n">
        <f>I11*E11+J11</f>
        <v>25000</v>
      </c>
      <c r="L11" s="160"/>
      <c r="M11" s="129" t="s">
        <v>20</v>
      </c>
    </row>
    <row r="12" ht="55.5" customHeight="1">
      <c r="A12" s="137" t="n">
        <f>ROW()-2</f>
        <v>10</v>
      </c>
      <c r="B12" s="343"/>
      <c r="C12" s="416" t="s">
        <v>43</v>
      </c>
      <c r="D12" s="136" t="s">
        <v>16</v>
      </c>
      <c r="E12" s="139" t="n">
        <v>1</v>
      </c>
      <c r="F12" s="139" t="s">
        <v>17</v>
      </c>
      <c r="G12" s="417" t="s">
        <v>44</v>
      </c>
      <c r="H12" s="139" t="s">
        <v>19</v>
      </c>
      <c r="I12" s="152" t="n">
        <v>36000</v>
      </c>
      <c r="J12" s="153"/>
      <c r="K12" s="154" t="n">
        <f>I12*E12+J12</f>
        <v>36000</v>
      </c>
      <c r="L12" s="160"/>
      <c r="M12" s="129" t="s">
        <v>20</v>
      </c>
    </row>
    <row r="13" ht="55.5" customHeight="1">
      <c r="A13" s="137" t="n">
        <f>ROW()-2</f>
        <v>11</v>
      </c>
      <c r="B13" s="343"/>
      <c r="C13" s="418" t="s">
        <v>45</v>
      </c>
      <c r="D13" s="136"/>
      <c r="E13" s="139" t="n">
        <v>1</v>
      </c>
      <c r="F13" s="139" t="s">
        <v>46</v>
      </c>
      <c r="G13" s="419" t="s">
        <v>47</v>
      </c>
      <c r="H13" s="139"/>
      <c r="I13" s="152" t="n">
        <v>170000</v>
      </c>
      <c r="J13" s="161"/>
      <c r="K13" s="154" t="n">
        <f>I13*E13+J13</f>
        <v>170000</v>
      </c>
      <c r="L13" s="160"/>
      <c r="M13" s="129" t="s">
        <v>20</v>
      </c>
    </row>
    <row r="14" ht="55.5" customHeight="1">
      <c r="A14" s="137" t="n">
        <f>ROW()-2</f>
        <v>12</v>
      </c>
      <c r="B14" s="343"/>
      <c r="C14" s="420" t="s">
        <v>48</v>
      </c>
      <c r="D14" s="136"/>
      <c r="E14" s="139" t="n">
        <v>1</v>
      </c>
      <c r="F14" s="139" t="s">
        <v>46</v>
      </c>
      <c r="G14" s="421" t="s">
        <v>49</v>
      </c>
      <c r="H14" s="139"/>
      <c r="I14" s="142" t="n">
        <v>50000</v>
      </c>
      <c r="J14" s="161"/>
      <c r="K14" s="154" t="n">
        <f>I14*E14+J14</f>
        <v>50000</v>
      </c>
      <c r="L14" s="160"/>
      <c r="M14" s="129" t="s">
        <v>20</v>
      </c>
    </row>
    <row r="15" ht="39.95" customHeight="1">
      <c r="A15" s="137" t="n">
        <f>ROW()-2</f>
        <v>13</v>
      </c>
      <c r="B15" s="343"/>
      <c r="C15" s="345" t="s">
        <v>50</v>
      </c>
      <c r="D15" s="345"/>
      <c r="E15" s="345"/>
      <c r="F15" s="345"/>
      <c r="G15" s="345"/>
      <c r="H15" s="345"/>
      <c r="I15" s="345"/>
      <c r="J15" s="157" t="n">
        <f>SUM(J3:J14)</f>
        <v>0</v>
      </c>
      <c r="K15" s="162" t="n">
        <f>SUM(K3:K14)</f>
        <v>996000</v>
      </c>
      <c r="L15" s="163"/>
    </row>
    <row r="16" ht="50.1" customHeight="1">
      <c r="A16" s="137" t="n">
        <f>ROW()-2</f>
        <v>14</v>
      </c>
      <c r="B16" s="422" t="s">
        <v>51</v>
      </c>
      <c r="C16" s="423" t="s">
        <v>52</v>
      </c>
      <c r="D16" s="424" t="s">
        <v>53</v>
      </c>
      <c r="E16" s="141" t="n">
        <v>2</v>
      </c>
      <c r="F16" s="138" t="s">
        <v>17</v>
      </c>
      <c r="G16" s="425" t="s">
        <v>54</v>
      </c>
      <c r="H16" s="139" t="s">
        <v>19</v>
      </c>
      <c r="I16" s="156" t="n">
        <v>80000</v>
      </c>
      <c r="J16" s="164" t="n">
        <v>0</v>
      </c>
      <c r="K16" s="157" t="n">
        <f>I16*E16+J16</f>
        <v>160000</v>
      </c>
      <c r="L16" s="155" t="s">
        <v>55</v>
      </c>
      <c r="M16" s="129" t="s">
        <v>20</v>
      </c>
    </row>
    <row r="17" ht="50.1" customHeight="1">
      <c r="A17" s="137" t="n">
        <f>ROW()-2</f>
        <v>15</v>
      </c>
      <c r="B17" s="343"/>
      <c r="C17" s="426" t="s">
        <v>52</v>
      </c>
      <c r="D17" s="136" t="s">
        <v>56</v>
      </c>
      <c r="E17" s="141" t="n">
        <v>1</v>
      </c>
      <c r="F17" s="138" t="s">
        <v>17</v>
      </c>
      <c r="G17" s="427" t="s">
        <v>57</v>
      </c>
      <c r="H17" s="139" t="s">
        <v>19</v>
      </c>
      <c r="I17" s="156" t="n">
        <v>100000</v>
      </c>
      <c r="J17" s="164" t="n">
        <v>0</v>
      </c>
      <c r="K17" s="157" t="n">
        <f>I17*E17+J17</f>
        <v>100000</v>
      </c>
      <c r="L17" s="155" t="s">
        <v>55</v>
      </c>
      <c r="M17" s="129" t="s">
        <v>20</v>
      </c>
    </row>
    <row r="18" ht="39.95" customHeight="1">
      <c r="A18" s="137" t="n">
        <f>ROW()-2</f>
        <v>16</v>
      </c>
      <c r="B18" s="343"/>
      <c r="C18" s="345" t="s">
        <v>50</v>
      </c>
      <c r="D18" s="345"/>
      <c r="E18" s="345"/>
      <c r="F18" s="345"/>
      <c r="G18" s="345"/>
      <c r="H18" s="345"/>
      <c r="I18" s="345"/>
      <c r="J18" s="157" t="n">
        <f>SUM(J16:J16)</f>
        <v>0</v>
      </c>
      <c r="K18" s="162" t="n">
        <f>SUM(K16:K17)</f>
        <v>260000</v>
      </c>
      <c r="L18" s="163"/>
    </row>
    <row r="19" s="127" customFormat="1" ht="39.95" customHeight="1">
      <c r="A19" s="137" t="n">
        <f>ROW()-2</f>
        <v>17</v>
      </c>
      <c r="B19" s="428" t="s">
        <v>58</v>
      </c>
      <c r="C19" s="429" t="s">
        <v>59</v>
      </c>
      <c r="D19" s="136" t="s">
        <v>60</v>
      </c>
      <c r="E19" s="138" t="n">
        <v>2</v>
      </c>
      <c r="F19" s="138" t="s">
        <v>17</v>
      </c>
      <c r="G19" s="430" t="s">
        <v>61</v>
      </c>
      <c r="H19" s="138" t="s">
        <v>62</v>
      </c>
      <c r="I19" s="156" t="n">
        <v>75000</v>
      </c>
      <c r="J19" s="164" t="n">
        <v>0</v>
      </c>
      <c r="K19" s="157" t="n">
        <f>I19*E19+J19</f>
        <v>150000</v>
      </c>
      <c r="L19" s="155" t="s">
        <v>63</v>
      </c>
      <c r="M19" s="129" t="s">
        <v>20</v>
      </c>
    </row>
    <row r="20" s="127" customFormat="1" ht="54.75" customHeight="1">
      <c r="A20" s="137" t="n">
        <f>ROW()-2</f>
        <v>18</v>
      </c>
      <c r="B20" s="350"/>
      <c r="C20" s="431" t="s">
        <v>64</v>
      </c>
      <c r="D20" s="136" t="s">
        <v>65</v>
      </c>
      <c r="E20" s="138" t="n">
        <v>1</v>
      </c>
      <c r="F20" s="138" t="s">
        <v>17</v>
      </c>
      <c r="G20" s="432" t="s">
        <v>61</v>
      </c>
      <c r="H20" s="138" t="s">
        <v>66</v>
      </c>
      <c r="I20" s="165" t="n">
        <v>55000</v>
      </c>
      <c r="J20" s="164" t="n">
        <v>0</v>
      </c>
      <c r="K20" s="157" t="n">
        <f>I20*E20+J20</f>
        <v>55000</v>
      </c>
      <c r="L20" s="155" t="s">
        <v>63</v>
      </c>
      <c r="M20" s="129" t="s">
        <v>20</v>
      </c>
    </row>
    <row r="21" s="127" customFormat="1" ht="48" customHeight="1">
      <c r="A21" s="137" t="n">
        <f>ROW()-2</f>
        <v>19</v>
      </c>
      <c r="B21" s="350"/>
      <c r="C21" s="433" t="s">
        <v>64</v>
      </c>
      <c r="D21" s="136" t="s">
        <v>67</v>
      </c>
      <c r="E21" s="138" t="n">
        <v>1</v>
      </c>
      <c r="F21" s="138" t="s">
        <v>17</v>
      </c>
      <c r="G21" s="434" t="s">
        <v>61</v>
      </c>
      <c r="H21" s="138" t="s">
        <v>68</v>
      </c>
      <c r="I21" s="165" t="n">
        <v>90000</v>
      </c>
      <c r="J21" s="164" t="n">
        <v>0</v>
      </c>
      <c r="K21" s="157" t="n">
        <f>I21*E21+J21</f>
        <v>90000</v>
      </c>
      <c r="L21" s="155" t="s">
        <v>63</v>
      </c>
      <c r="M21" s="129" t="s">
        <v>20</v>
      </c>
    </row>
    <row r="22" s="128" customFormat="1" ht="72" customHeight="1">
      <c r="A22" s="137" t="n">
        <f>ROW()-2</f>
        <v>20</v>
      </c>
      <c r="B22" s="350"/>
      <c r="C22" s="435" t="s">
        <v>69</v>
      </c>
      <c r="D22" s="136" t="s">
        <v>70</v>
      </c>
      <c r="E22" s="143" t="n">
        <v>1</v>
      </c>
      <c r="F22" s="138" t="s">
        <v>17</v>
      </c>
      <c r="G22" s="436" t="s">
        <v>61</v>
      </c>
      <c r="H22" s="138" t="s">
        <v>71</v>
      </c>
      <c r="I22" s="142" t="n">
        <v>20000</v>
      </c>
      <c r="J22" s="164" t="n">
        <v>0</v>
      </c>
      <c r="K22" s="157" t="n">
        <f>I22*E22+J22</f>
        <v>20000</v>
      </c>
      <c r="L22" s="155" t="s">
        <v>63</v>
      </c>
      <c r="M22" s="129" t="s">
        <v>20</v>
      </c>
    </row>
    <row r="23" s="127" customFormat="1" ht="39.95" customHeight="1">
      <c r="A23" s="137" t="n">
        <f>ROW()-2</f>
        <v>21</v>
      </c>
      <c r="B23" s="350"/>
      <c r="C23" s="437" t="s">
        <v>72</v>
      </c>
      <c r="D23" s="136" t="s">
        <v>73</v>
      </c>
      <c r="E23" s="143" t="n">
        <v>6</v>
      </c>
      <c r="F23" s="138" t="s">
        <v>74</v>
      </c>
      <c r="G23" s="438" t="s">
        <v>75</v>
      </c>
      <c r="H23" s="138" t="s">
        <v>76</v>
      </c>
      <c r="I23" s="165" t="n">
        <v>7200</v>
      </c>
      <c r="J23" s="164" t="n">
        <v>0</v>
      </c>
      <c r="K23" s="157" t="n">
        <f>I23*E23+J23</f>
        <v>43200</v>
      </c>
      <c r="L23" s="155" t="s">
        <v>63</v>
      </c>
      <c r="M23" s="129" t="s">
        <v>20</v>
      </c>
    </row>
    <row r="24" s="127" customFormat="1" ht="39.95" customHeight="1">
      <c r="A24" s="137" t="n">
        <f>ROW()-2</f>
        <v>22</v>
      </c>
      <c r="B24" s="350"/>
      <c r="C24" s="439" t="s">
        <v>72</v>
      </c>
      <c r="D24" s="440" t="s">
        <v>77</v>
      </c>
      <c r="E24" s="143" t="n">
        <v>13</v>
      </c>
      <c r="F24" s="138" t="s">
        <v>74</v>
      </c>
      <c r="G24" s="441" t="s">
        <v>75</v>
      </c>
      <c r="H24" s="138" t="s">
        <v>78</v>
      </c>
      <c r="I24" s="165" t="n">
        <v>7200</v>
      </c>
      <c r="J24" s="164" t="n">
        <v>0</v>
      </c>
      <c r="K24" s="157" t="n">
        <f>I24*E24+J24</f>
        <v>93600</v>
      </c>
      <c r="L24" s="155" t="s">
        <v>63</v>
      </c>
      <c r="M24" s="129" t="s">
        <v>20</v>
      </c>
    </row>
    <row r="25" s="127" customFormat="1" ht="39.95" customHeight="1">
      <c r="A25" s="137" t="n">
        <f>ROW()-2</f>
        <v>23</v>
      </c>
      <c r="B25" s="350"/>
      <c r="C25" s="442" t="s">
        <v>79</v>
      </c>
      <c r="D25" s="443" t="s">
        <v>80</v>
      </c>
      <c r="E25" s="143" t="n">
        <v>16</v>
      </c>
      <c r="F25" s="138" t="s">
        <v>74</v>
      </c>
      <c r="G25" s="444" t="s">
        <v>81</v>
      </c>
      <c r="H25" s="139" t="s">
        <v>19</v>
      </c>
      <c r="I25" s="165" t="n">
        <v>7000</v>
      </c>
      <c r="J25" s="164" t="n">
        <v>0</v>
      </c>
      <c r="K25" s="157" t="n">
        <f>I25*E25+J25</f>
        <v>112000</v>
      </c>
      <c r="L25" s="155" t="s">
        <v>63</v>
      </c>
      <c r="M25" s="129" t="s">
        <v>20</v>
      </c>
    </row>
    <row r="26" s="127" customFormat="1" ht="50.1" customHeight="1">
      <c r="A26" s="137" t="n">
        <f>ROW()-2</f>
        <v>24</v>
      </c>
      <c r="B26" s="350"/>
      <c r="C26" s="445" t="s">
        <v>82</v>
      </c>
      <c r="D26" s="446" t="s">
        <v>83</v>
      </c>
      <c r="E26" s="143" t="n">
        <v>4</v>
      </c>
      <c r="F26" s="138" t="s">
        <v>74</v>
      </c>
      <c r="G26" s="447" t="s">
        <v>84</v>
      </c>
      <c r="H26" s="139" t="s">
        <v>19</v>
      </c>
      <c r="I26" s="156" t="n">
        <v>20000</v>
      </c>
      <c r="J26" s="164" t="n">
        <v>0</v>
      </c>
      <c r="K26" s="157" t="n">
        <f>I26*E26+J26</f>
        <v>80000</v>
      </c>
      <c r="L26" s="155" t="s">
        <v>63</v>
      </c>
      <c r="M26" s="129" t="s">
        <v>20</v>
      </c>
    </row>
    <row r="27" s="127" customFormat="1" ht="44.25" customHeight="1">
      <c r="A27" s="137" t="n">
        <f>ROW()-2</f>
        <v>25</v>
      </c>
      <c r="B27" s="350"/>
      <c r="C27" s="448" t="s">
        <v>85</v>
      </c>
      <c r="D27" s="136" t="s">
        <v>86</v>
      </c>
      <c r="E27" s="138" t="n">
        <v>5</v>
      </c>
      <c r="F27" s="138" t="s">
        <v>17</v>
      </c>
      <c r="G27" s="449" t="s">
        <v>87</v>
      </c>
      <c r="H27" s="139" t="s">
        <v>19</v>
      </c>
      <c r="I27" s="156" t="n">
        <v>20000</v>
      </c>
      <c r="J27" s="164" t="n">
        <v>0</v>
      </c>
      <c r="K27" s="157" t="n">
        <f>I27*E27+J27</f>
        <v>100000</v>
      </c>
      <c r="L27" s="155" t="s">
        <v>63</v>
      </c>
      <c r="M27" s="129" t="s">
        <v>20</v>
      </c>
    </row>
    <row r="28" s="127" customFormat="1" ht="48" customHeight="1">
      <c r="A28" s="137" t="n">
        <f>ROW()-2</f>
        <v>26</v>
      </c>
      <c r="B28" s="350"/>
      <c r="C28" s="450" t="s">
        <v>88</v>
      </c>
      <c r="D28" s="451" t="s">
        <v>89</v>
      </c>
      <c r="E28" s="144" t="n">
        <v>12</v>
      </c>
      <c r="F28" s="138" t="s">
        <v>17</v>
      </c>
      <c r="G28" s="452" t="s">
        <v>90</v>
      </c>
      <c r="H28" s="139" t="s">
        <v>19</v>
      </c>
      <c r="I28" s="156" t="n">
        <v>8000</v>
      </c>
      <c r="J28" s="164" t="n">
        <v>0</v>
      </c>
      <c r="K28" s="157" t="n">
        <f>I28*E28+J28</f>
        <v>96000</v>
      </c>
      <c r="L28" s="155" t="s">
        <v>63</v>
      </c>
      <c r="M28" s="129" t="s">
        <v>20</v>
      </c>
    </row>
    <row r="29" ht="39.95" customHeight="1">
      <c r="A29" s="137" t="n">
        <f>ROW()-2</f>
        <v>27</v>
      </c>
      <c r="B29" s="351"/>
      <c r="C29" s="345" t="s">
        <v>50</v>
      </c>
      <c r="D29" s="345"/>
      <c r="E29" s="345"/>
      <c r="F29" s="345"/>
      <c r="G29" s="345"/>
      <c r="H29" s="345"/>
      <c r="I29" s="345"/>
      <c r="J29" s="157" t="n">
        <f>SUM(J27:J28)</f>
        <v>0</v>
      </c>
      <c r="K29" s="162" t="n">
        <f>SUM(K19:K28)</f>
        <v>839800</v>
      </c>
      <c r="L29" s="163"/>
    </row>
    <row r="30" s="127" customFormat="1" ht="50.1" customHeight="1">
      <c r="A30" s="137" t="n">
        <f>ROW()-2</f>
        <v>28</v>
      </c>
      <c r="B30" s="453" t="s">
        <v>91</v>
      </c>
      <c r="C30" s="454" t="s">
        <v>92</v>
      </c>
      <c r="D30" s="136" t="s">
        <v>93</v>
      </c>
      <c r="E30" s="138" t="n">
        <v>1</v>
      </c>
      <c r="F30" s="138" t="s">
        <v>17</v>
      </c>
      <c r="G30" s="138" t="s">
        <v>94</v>
      </c>
      <c r="H30" s="138" t="s">
        <v>95</v>
      </c>
      <c r="I30" s="357" t="n">
        <v>340000</v>
      </c>
      <c r="J30" s="166" t="n">
        <v>0</v>
      </c>
      <c r="K30" s="347" t="n">
        <v>340000</v>
      </c>
      <c r="L30" s="167" t="s">
        <v>96</v>
      </c>
      <c r="M30" s="168"/>
    </row>
    <row r="31" s="127" customFormat="1" ht="50.1" customHeight="1">
      <c r="A31" s="137" t="n">
        <f>ROW()-2</f>
        <v>29</v>
      </c>
      <c r="B31" s="350"/>
      <c r="C31" s="343"/>
      <c r="D31" s="136" t="s">
        <v>97</v>
      </c>
      <c r="E31" s="138" t="n">
        <v>1</v>
      </c>
      <c r="F31" s="138" t="s">
        <v>17</v>
      </c>
      <c r="G31" s="138" t="s">
        <v>98</v>
      </c>
      <c r="H31" s="138" t="s">
        <v>95</v>
      </c>
      <c r="I31" s="357"/>
      <c r="J31" s="166" t="n">
        <v>0</v>
      </c>
      <c r="K31" s="348"/>
      <c r="L31" s="167" t="s">
        <v>96</v>
      </c>
      <c r="M31" s="168"/>
    </row>
    <row r="32" s="127" customFormat="1" ht="39.95" customHeight="1">
      <c r="A32" s="137" t="n">
        <f>ROW()-2</f>
        <v>30</v>
      </c>
      <c r="B32" s="351"/>
      <c r="C32" s="345" t="s">
        <v>50</v>
      </c>
      <c r="D32" s="345"/>
      <c r="E32" s="345"/>
      <c r="F32" s="345"/>
      <c r="G32" s="345"/>
      <c r="H32" s="345"/>
      <c r="I32" s="345"/>
      <c r="J32" s="157" t="n">
        <f>SUM(J27:J31)</f>
        <v>0</v>
      </c>
      <c r="K32" s="162" t="n">
        <f>SUM(K30:K31)</f>
        <v>340000</v>
      </c>
      <c r="L32" s="163"/>
      <c r="M32" s="129"/>
    </row>
    <row r="33" s="127" customFormat="1" ht="81.75" customHeight="1">
      <c r="A33" s="137" t="n">
        <f>ROW()-2</f>
        <v>31</v>
      </c>
      <c r="B33" s="455" t="s">
        <v>99</v>
      </c>
      <c r="C33" s="456" t="s">
        <v>99</v>
      </c>
      <c r="D33" s="136" t="s">
        <v>100</v>
      </c>
      <c r="E33" s="141" t="n">
        <v>1</v>
      </c>
      <c r="F33" s="138" t="s">
        <v>46</v>
      </c>
      <c r="G33" s="139" t="s">
        <v>19</v>
      </c>
      <c r="H33" s="139" t="s">
        <v>19</v>
      </c>
      <c r="I33" s="169" t="n">
        <v>350000</v>
      </c>
      <c r="J33" s="157" t="n">
        <v>0</v>
      </c>
      <c r="K33" s="157" t="n">
        <f>I33*E33+J33</f>
        <v>350000</v>
      </c>
      <c r="L33" s="155" t="s">
        <v>101</v>
      </c>
      <c r="M33" s="129" t="s">
        <v>102</v>
      </c>
    </row>
    <row r="34" s="127" customFormat="1" ht="54.75" customHeight="1">
      <c r="A34" s="137" t="n">
        <f>ROW()-2</f>
        <v>32</v>
      </c>
      <c r="B34" s="343"/>
      <c r="C34" s="138" t="s">
        <v>103</v>
      </c>
      <c r="D34" s="136" t="s">
        <v>104</v>
      </c>
      <c r="E34" s="141" t="n">
        <v>1</v>
      </c>
      <c r="F34" s="138" t="s">
        <v>46</v>
      </c>
      <c r="G34" s="139" t="s">
        <v>19</v>
      </c>
      <c r="H34" s="139" t="s">
        <v>19</v>
      </c>
      <c r="I34" s="169" t="n">
        <v>200818</v>
      </c>
      <c r="J34" s="170" t="n">
        <v>0</v>
      </c>
      <c r="K34" s="157" t="n">
        <v>200818</v>
      </c>
      <c r="L34" s="167" t="s">
        <v>105</v>
      </c>
      <c r="M34" s="168"/>
    </row>
    <row r="35" ht="39.95" customHeight="1">
      <c r="A35" s="137" t="n">
        <f>ROW()-2</f>
        <v>33</v>
      </c>
      <c r="B35" s="343"/>
      <c r="C35" s="345" t="s">
        <v>50</v>
      </c>
      <c r="D35" s="345"/>
      <c r="E35" s="345"/>
      <c r="F35" s="345"/>
      <c r="G35" s="345"/>
      <c r="H35" s="345"/>
      <c r="I35" s="345"/>
      <c r="J35" s="157" t="n">
        <f>SUM(J27:J33)</f>
        <v>0</v>
      </c>
      <c r="K35" s="162" t="n">
        <f>SUM(K33:K34)</f>
        <v>550818</v>
      </c>
      <c r="L35" s="163"/>
    </row>
    <row r="36" s="127" customFormat="1" ht="55.5" customHeight="1">
      <c r="A36" s="137" t="n">
        <f>ROW()-2</f>
        <v>34</v>
      </c>
      <c r="B36" s="457" t="s">
        <v>106</v>
      </c>
      <c r="C36" s="138" t="s">
        <v>107</v>
      </c>
      <c r="D36" s="136" t="s">
        <v>108</v>
      </c>
      <c r="E36" s="138" t="n">
        <v>1</v>
      </c>
      <c r="F36" s="138" t="s">
        <v>46</v>
      </c>
      <c r="G36" s="139" t="s">
        <v>19</v>
      </c>
      <c r="H36" s="139" t="s">
        <v>19</v>
      </c>
      <c r="I36" s="171" t="n">
        <v>0</v>
      </c>
      <c r="J36" s="169" t="n">
        <v>270000</v>
      </c>
      <c r="K36" s="157" t="n">
        <f>I36*E36+J36</f>
        <v>270000</v>
      </c>
      <c r="L36" s="155" t="s">
        <v>63</v>
      </c>
      <c r="M36" s="129" t="s">
        <v>109</v>
      </c>
    </row>
    <row r="37" s="127" customFormat="1" ht="49.5" customHeight="1">
      <c r="A37" s="137" t="n">
        <f>ROW()-2</f>
        <v>35</v>
      </c>
      <c r="B37" s="343"/>
      <c r="C37" s="458" t="s">
        <v>110</v>
      </c>
      <c r="D37" s="459" t="s">
        <v>111</v>
      </c>
      <c r="E37" s="138" t="n">
        <v>1</v>
      </c>
      <c r="F37" s="138" t="s">
        <v>46</v>
      </c>
      <c r="G37" s="139" t="s">
        <v>19</v>
      </c>
      <c r="H37" s="139" t="s">
        <v>19</v>
      </c>
      <c r="I37" s="171" t="n">
        <v>0</v>
      </c>
      <c r="J37" s="169" t="n">
        <v>60000</v>
      </c>
      <c r="K37" s="157" t="n">
        <f>I37*E37+J37</f>
        <v>60000</v>
      </c>
      <c r="L37" s="155"/>
      <c r="M37" s="129" t="s">
        <v>109</v>
      </c>
    </row>
    <row r="38" s="127" customFormat="1" ht="39.95" customHeight="1">
      <c r="A38" s="137" t="n">
        <f>ROW()-2</f>
        <v>36</v>
      </c>
      <c r="B38" s="343"/>
      <c r="C38" s="460" t="s">
        <v>112</v>
      </c>
      <c r="D38" s="461" t="s">
        <v>113</v>
      </c>
      <c r="E38" s="138" t="n">
        <v>1</v>
      </c>
      <c r="F38" s="138" t="s">
        <v>46</v>
      </c>
      <c r="G38" s="139" t="s">
        <v>19</v>
      </c>
      <c r="H38" s="139" t="s">
        <v>19</v>
      </c>
      <c r="I38" s="171"/>
      <c r="J38" s="157" t="n">
        <v>0</v>
      </c>
      <c r="K38" s="157" t="n">
        <f>(K36+K37)*6%</f>
        <v>19800</v>
      </c>
      <c r="L38" s="155"/>
      <c r="M38" s="129"/>
    </row>
    <row r="39" s="127" customFormat="1" ht="39.95" customHeight="1">
      <c r="A39" s="137" t="n">
        <f>ROW()-2</f>
        <v>37</v>
      </c>
      <c r="B39" s="343"/>
      <c r="C39" s="140"/>
      <c r="D39" s="140"/>
      <c r="E39" s="140"/>
      <c r="F39" s="140"/>
      <c r="G39" s="140"/>
      <c r="H39" s="140"/>
      <c r="I39" s="172"/>
      <c r="J39" s="157" t="n">
        <v>0</v>
      </c>
      <c r="K39" s="162" t="n">
        <f>SUM(K36:K38)</f>
        <v>349800</v>
      </c>
      <c r="L39" s="163"/>
      <c r="M39" s="129"/>
    </row>
    <row r="40" s="127" customFormat="1" ht="39.95" customHeight="1">
      <c r="A40" s="137" t="n">
        <f>ROW()-2</f>
        <v>38</v>
      </c>
      <c r="B40" s="462" t="s">
        <v>114</v>
      </c>
      <c r="C40" s="463" t="s">
        <v>115</v>
      </c>
      <c r="D40" s="464" t="s">
        <v>116</v>
      </c>
      <c r="E40" s="138" t="n">
        <v>1</v>
      </c>
      <c r="F40" s="138" t="s">
        <v>46</v>
      </c>
      <c r="G40" s="139" t="s">
        <v>19</v>
      </c>
      <c r="H40" s="139" t="s">
        <v>19</v>
      </c>
      <c r="I40" s="171" t="n">
        <v>0</v>
      </c>
      <c r="J40" s="157" t="n">
        <v>0</v>
      </c>
      <c r="K40" s="157" t="n">
        <f>I40*E40+J40</f>
        <v>0</v>
      </c>
      <c r="L40" s="155"/>
      <c r="M40" s="129" t="s">
        <v>117</v>
      </c>
    </row>
    <row r="41" s="127" customFormat="1" ht="39.95" customHeight="1">
      <c r="A41" s="137" t="n">
        <f>ROW()-2</f>
        <v>39</v>
      </c>
      <c r="B41" s="343"/>
      <c r="C41" s="465" t="s">
        <v>118</v>
      </c>
      <c r="D41" s="466" t="s">
        <v>119</v>
      </c>
      <c r="E41" s="138" t="n">
        <v>1</v>
      </c>
      <c r="F41" s="138" t="s">
        <v>46</v>
      </c>
      <c r="G41" s="139" t="s">
        <v>19</v>
      </c>
      <c r="H41" s="139" t="s">
        <v>19</v>
      </c>
      <c r="I41" s="165" t="n">
        <v>100000</v>
      </c>
      <c r="J41" s="157" t="n">
        <v>0</v>
      </c>
      <c r="K41" s="157" t="n">
        <f>I41*E41+J41</f>
        <v>100000</v>
      </c>
      <c r="L41" s="155"/>
      <c r="M41" s="129" t="s">
        <v>120</v>
      </c>
    </row>
    <row r="42" s="127" customFormat="1" ht="39.95" customHeight="1">
      <c r="A42" s="137" t="n">
        <f>ROW()-2</f>
        <v>40</v>
      </c>
      <c r="B42" s="343"/>
      <c r="C42" s="467" t="s">
        <v>121</v>
      </c>
      <c r="D42" s="468" t="s">
        <v>122</v>
      </c>
      <c r="E42" s="138" t="n">
        <v>1</v>
      </c>
      <c r="F42" s="138" t="s">
        <v>46</v>
      </c>
      <c r="G42" s="139" t="s">
        <v>19</v>
      </c>
      <c r="H42" s="139" t="s">
        <v>19</v>
      </c>
      <c r="I42" s="171" t="n">
        <v>0</v>
      </c>
      <c r="J42" s="157" t="n">
        <v>0</v>
      </c>
      <c r="K42" s="157" t="n">
        <f>I42*E42+J42</f>
        <v>0</v>
      </c>
      <c r="L42" s="155"/>
      <c r="M42" s="129"/>
    </row>
    <row r="43" s="127" customFormat="1" ht="39.95" customHeight="1">
      <c r="A43" s="137" t="n">
        <f>ROW()-2</f>
        <v>41</v>
      </c>
      <c r="B43" s="343"/>
      <c r="C43" s="140"/>
      <c r="D43" s="140"/>
      <c r="E43" s="140"/>
      <c r="F43" s="140"/>
      <c r="G43" s="140"/>
      <c r="H43" s="140"/>
      <c r="I43" s="172"/>
      <c r="J43" s="157" t="n">
        <v>0</v>
      </c>
      <c r="K43" s="162" t="n">
        <f>SUM(K40:K42)</f>
        <v>100000</v>
      </c>
      <c r="L43" s="163"/>
      <c r="M43" s="129"/>
    </row>
    <row r="44" s="127" customFormat="1" ht="39.95" customHeight="1">
      <c r="A44" s="145" t="n">
        <f>ROW()-2</f>
        <v>42</v>
      </c>
      <c r="B44" s="355" t="s">
        <v>123</v>
      </c>
      <c r="C44" s="355"/>
      <c r="D44" s="355"/>
      <c r="E44" s="355"/>
      <c r="F44" s="355"/>
      <c r="G44" s="355"/>
      <c r="H44" s="355"/>
      <c r="I44" s="355"/>
      <c r="J44" s="355"/>
      <c r="K44" s="173" t="n">
        <f>K15+K18+K29+K35+K32+K39+K43</f>
        <v>3436418</v>
      </c>
      <c r="L44" s="174" t="n">
        <f>(K44-K32)/$L$47</f>
        <v>321538.733125649</v>
      </c>
      <c r="M44" s="175"/>
    </row>
    <row r="45" s="127" customFormat="1" ht="39.95" customHeight="1"/>
    <row r="46" s="127" customFormat="1" ht="39.95" customHeight="1">
      <c r="B46" s="146"/>
      <c r="C46" s="146"/>
      <c r="D46" s="146"/>
      <c r="E46" s="146"/>
      <c r="F46" s="146"/>
      <c r="G46" s="146"/>
      <c r="H46" s="146"/>
      <c r="I46" s="176" t="s">
        <v>124</v>
      </c>
      <c r="J46" s="177" t="n">
        <f>ROUNDUP(K44/10000,2)</f>
        <v>343.65</v>
      </c>
      <c r="K46" s="178" t="n">
        <f>ROUNDUP(K44/L46/1000000,2)</f>
        <v>0.48</v>
      </c>
      <c r="L46" s="179" t="n">
        <v>7.26</v>
      </c>
    </row>
    <row r="47" s="127" customFormat="1" ht="39.95" customHeight="1">
      <c r="G47" s="147"/>
      <c r="I47" s="180" t="s">
        <v>125</v>
      </c>
      <c r="J47" s="177" t="n">
        <v>201.07</v>
      </c>
      <c r="K47" s="181" t="n">
        <v>0.21</v>
      </c>
      <c r="L47" s="182" t="n">
        <v>9.63</v>
      </c>
    </row>
    <row r="48" s="127" customFormat="1" ht="39.95" customHeight="1">
      <c r="J48" s="131"/>
      <c r="K48" s="131"/>
      <c r="L48" s="132"/>
    </row>
    <row r="49" s="127" customFormat="1" ht="39.95" customHeight="1">
      <c r="E49" s="131"/>
      <c r="F49" s="131"/>
      <c r="G49" s="131"/>
      <c r="H49" s="131"/>
      <c r="J49" s="131"/>
      <c r="K49" s="131"/>
      <c r="L49" s="131"/>
    </row>
    <row r="50" s="127" customFormat="1" ht="39.95" customHeight="1">
      <c r="K50" s="131"/>
      <c r="L50" s="131"/>
    </row>
    <row r="51" s="127" customFormat="1" ht="39.95" customHeight="1">
      <c r="J51" s="131"/>
      <c r="K51" s="131"/>
      <c r="L51" s="132"/>
    </row>
    <row r="52" s="127" customFormat="1" ht="39.95" customHeight="1">
      <c r="J52" s="131"/>
      <c r="K52" s="131"/>
      <c r="L52" s="132"/>
    </row>
    <row r="53" s="127" customFormat="1" ht="39.95" customHeight="1">
      <c r="J53" s="131"/>
      <c r="K53" s="131"/>
      <c r="L53" s="132"/>
    </row>
    <row r="54" s="127" customFormat="1" ht="39.95" customHeight="1">
      <c r="J54" s="131"/>
      <c r="K54" s="131"/>
      <c r="L54" s="132"/>
    </row>
    <row r="55" s="127" customFormat="1" ht="39.95" customHeight="1">
      <c r="J55" s="131"/>
      <c r="K55" s="131"/>
      <c r="L55" s="132"/>
    </row>
    <row r="56" s="127" customFormat="1" ht="39.95" customHeight="1">
      <c r="J56" s="131"/>
      <c r="K56" s="131"/>
      <c r="L56" s="132"/>
    </row>
    <row r="57" s="127" customFormat="1" ht="39.95" customHeight="1">
      <c r="J57" s="131"/>
      <c r="K57" s="131"/>
      <c r="L57" s="132"/>
    </row>
    <row r="58" s="127" customFormat="1" ht="39.95" customHeight="1">
      <c r="J58" s="131"/>
      <c r="K58" s="131"/>
      <c r="L58" s="132"/>
    </row>
    <row r="59" s="127" customFormat="1" ht="39.95" customHeight="1">
      <c r="J59" s="131"/>
      <c r="K59" s="131"/>
      <c r="L59" s="132"/>
    </row>
  </sheetData>
  <mergeCells count="18">
    <mergeCell ref="B40:B43"/>
    <mergeCell ref="C30:C31"/>
    <mergeCell ref="B33:B35"/>
    <mergeCell ref="I30:I31"/>
    <mergeCell ref="C32:I32"/>
    <mergeCell ref="B30:B32"/>
    <mergeCell ref="A1:H1"/>
    <mergeCell ref="B3:B15"/>
    <mergeCell ref="C35:I35"/>
    <mergeCell ref="B16:B18"/>
    <mergeCell ref="C15:I15"/>
    <mergeCell ref="K30:K31"/>
    <mergeCell ref="B44:J44"/>
    <mergeCell ref="C29:I29"/>
    <mergeCell ref="C18:I18"/>
    <mergeCell ref="B36:B39"/>
    <mergeCell ref="B19:B29"/>
    <mergeCell ref="I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5.75" customHeight="1"/>
  <cols>
    <col min="2" max="2" width="16.166015625" customWidth="1" style="118"/>
    <col min="3" max="3" width="29.1650390625" customWidth="1" style="118"/>
    <col min="4" max="4" width="12.6650390625" customWidth="1" style="118"/>
  </cols>
  <sheetData>
    <row r="1" ht="15.75" customHeight="1">
      <c r="F1" s="118" t="s">
        <v>126</v>
      </c>
    </row>
    <row r="3" ht="15.75" customHeight="1">
      <c r="A3" s="119" t="s">
        <v>127</v>
      </c>
      <c r="B3" s="119" t="s">
        <v>128</v>
      </c>
      <c r="C3" s="119" t="s">
        <v>129</v>
      </c>
      <c r="D3" s="119" t="s">
        <v>130</v>
      </c>
    </row>
    <row r="4" ht="15.75" customHeight="1">
      <c r="A4" s="120" t="n">
        <v>1</v>
      </c>
      <c r="B4" s="358" t="s">
        <v>131</v>
      </c>
      <c r="C4" s="119" t="s">
        <v>132</v>
      </c>
      <c r="D4" s="120" t="n">
        <v>2</v>
      </c>
    </row>
    <row r="5" ht="31.5" customHeight="1">
      <c r="A5" s="120" t="n">
        <v>2</v>
      </c>
      <c r="B5" s="358"/>
      <c r="C5" s="121" t="s">
        <v>133</v>
      </c>
      <c r="D5" s="120" t="n">
        <v>3</v>
      </c>
    </row>
    <row r="7" ht="15.75" customHeight="1">
      <c r="A7" s="118" t="s">
        <v>134</v>
      </c>
    </row>
    <row r="8" ht="15.75" customHeight="1">
      <c r="A8" s="118" t="s">
        <v>135</v>
      </c>
    </row>
    <row r="9" ht="15.75" customHeight="1">
      <c r="A9" s="122"/>
    </row>
    <row r="10" ht="15.75" customHeight="1">
      <c r="A10" s="118" t="s">
        <v>136</v>
      </c>
    </row>
    <row r="11" ht="15.75" customHeight="1">
      <c r="A11" s="123" t="s">
        <v>137</v>
      </c>
    </row>
    <row r="12" ht="15.75" customHeight="1">
      <c r="A12" s="123" t="s">
        <v>138</v>
      </c>
    </row>
    <row r="13" ht="15.75" customHeight="1">
      <c r="A13" s="123" t="s">
        <v>139</v>
      </c>
    </row>
    <row r="14" ht="15.75" customHeight="1">
      <c r="A14" s="123" t="s">
        <v>140</v>
      </c>
    </row>
    <row r="15" ht="15.75" customHeight="1">
      <c r="A15" s="124" t="s">
        <v>141</v>
      </c>
    </row>
    <row r="16" ht="15.75" customHeight="1">
      <c r="A16" s="124" t="s">
        <v>142</v>
      </c>
    </row>
    <row r="17" ht="15.75" customHeight="1">
      <c r="A17" s="124" t="s">
        <v>143</v>
      </c>
    </row>
    <row r="18" ht="15.75" customHeight="1">
      <c r="A18" s="124" t="s">
        <v>144</v>
      </c>
    </row>
    <row r="19" ht="15.75" customHeight="1">
      <c r="A19" s="124" t="s">
        <v>145</v>
      </c>
    </row>
    <row r="20" ht="15.75" customHeight="1">
      <c r="A20" s="124" t="s">
        <v>146</v>
      </c>
    </row>
    <row r="21" ht="15.75" customHeight="1">
      <c r="A21" s="124" t="s">
        <v>147</v>
      </c>
    </row>
    <row r="22" ht="15.75" customHeight="1">
      <c r="A22" s="124" t="s">
        <v>148</v>
      </c>
    </row>
    <row r="23" ht="15.75" customHeight="1">
      <c r="A23" s="124" t="s">
        <v>149</v>
      </c>
    </row>
    <row r="24" ht="15.75" customHeight="1">
      <c r="A24" s="124" t="s">
        <v>150</v>
      </c>
    </row>
    <row r="25" ht="15.75" customHeight="1">
      <c r="A25" s="124" t="s">
        <v>151</v>
      </c>
    </row>
    <row r="26" ht="15.75" customHeight="1">
      <c r="A26" s="123" t="s">
        <v>152</v>
      </c>
    </row>
    <row r="27" ht="15.75" customHeight="1">
      <c r="A27" s="124" t="s">
        <v>153</v>
      </c>
    </row>
    <row r="28" ht="15.75" customHeight="1">
      <c r="A28" s="124" t="s">
        <v>154</v>
      </c>
    </row>
    <row r="29" ht="15.75" customHeight="1">
      <c r="A29" s="124" t="s">
        <v>155</v>
      </c>
    </row>
    <row r="30" ht="15.75" customHeight="1">
      <c r="A30" s="124" t="s">
        <v>156</v>
      </c>
    </row>
    <row r="31" ht="15.75" customHeight="1">
      <c r="A31" s="124" t="s">
        <v>157</v>
      </c>
    </row>
    <row r="32" ht="15.75" customHeight="1">
      <c r="A32" s="123" t="s">
        <v>158</v>
      </c>
    </row>
    <row r="33" ht="15.75" customHeight="1">
      <c r="A33" s="124" t="s">
        <v>159</v>
      </c>
    </row>
    <row r="34" ht="15.75" customHeight="1">
      <c r="A34" s="124" t="s">
        <v>160</v>
      </c>
    </row>
    <row r="35" ht="15.75" customHeight="1">
      <c r="A35" s="124" t="s">
        <v>161</v>
      </c>
    </row>
    <row r="36" ht="15.75" customHeight="1">
      <c r="A36" s="123" t="s">
        <v>162</v>
      </c>
    </row>
    <row r="37" ht="15.75" customHeight="1">
      <c r="A37" s="123" t="s">
        <v>163</v>
      </c>
    </row>
    <row r="38" ht="15.75" customHeight="1">
      <c r="A38" s="123" t="s">
        <v>164</v>
      </c>
    </row>
    <row r="39" ht="15.75" customHeight="1">
      <c r="A39" s="123" t="s">
        <v>165</v>
      </c>
    </row>
    <row r="40" ht="15.75" customHeight="1">
      <c r="A40" s="123" t="s">
        <v>166</v>
      </c>
    </row>
    <row r="41" ht="15.75" customHeight="1">
      <c r="A41" s="123" t="s">
        <v>167</v>
      </c>
    </row>
    <row r="42" ht="15.75" customHeight="1">
      <c r="A42" s="125"/>
    </row>
    <row r="43" ht="15.75" customHeight="1">
      <c r="A43" s="126" t="s">
        <v>168</v>
      </c>
    </row>
    <row r="44" ht="15.75" customHeight="1">
      <c r="A44" s="123" t="s">
        <v>169</v>
      </c>
    </row>
    <row r="45" ht="15.75" customHeight="1">
      <c r="A45" s="123" t="s">
        <v>170</v>
      </c>
    </row>
  </sheetData>
  <mergeCells count="1">
    <mergeCell ref="B4:B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20" width="2.4990234375" customWidth="1" style="118"/>
    <col min="121" max="122" width="2.4990234375" customWidth="1"/>
  </cols>
  <sheetData>
    <row r="1" ht="30" customHeight="1">
      <c r="C1" s="359" t="s">
        <v>171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DO1" s="118"/>
      <c r="DP1" s="118"/>
      <c r="DQ1" s="118"/>
      <c r="DR1" s="118"/>
      <c r="DS1" s="118" t="s">
        <v>172</v>
      </c>
    </row>
    <row r="2" ht="30" customHeight="1">
      <c r="B2" s="361" t="s">
        <v>173</v>
      </c>
      <c r="C2" s="361"/>
      <c r="D2" s="336" t="s">
        <v>174</v>
      </c>
      <c r="E2" s="362" t="n">
        <v>8</v>
      </c>
      <c r="F2" s="363"/>
      <c r="G2" s="363"/>
      <c r="H2" s="363"/>
      <c r="I2" s="362" t="n">
        <v>9</v>
      </c>
      <c r="J2" s="363"/>
      <c r="K2" s="363"/>
      <c r="L2" s="363"/>
      <c r="M2" s="362" t="n">
        <v>10</v>
      </c>
      <c r="N2" s="363"/>
      <c r="O2" s="363"/>
      <c r="P2" s="363"/>
      <c r="Q2" s="362" t="n">
        <v>11</v>
      </c>
      <c r="R2" s="363"/>
      <c r="S2" s="363"/>
      <c r="T2" s="363"/>
      <c r="U2" s="362" t="n">
        <v>12</v>
      </c>
      <c r="V2" s="363"/>
      <c r="W2" s="363"/>
      <c r="X2" s="363"/>
      <c r="Y2" s="363" t="n">
        <v>1</v>
      </c>
      <c r="Z2" s="363"/>
      <c r="AA2" s="363"/>
      <c r="AB2" s="363"/>
      <c r="AC2" s="363" t="n">
        <v>2</v>
      </c>
      <c r="AD2" s="363"/>
      <c r="AE2" s="363"/>
      <c r="AF2" s="363"/>
      <c r="AG2" s="363" t="n">
        <v>3</v>
      </c>
      <c r="AH2" s="363"/>
      <c r="AI2" s="363"/>
      <c r="AJ2" s="363"/>
      <c r="AK2" s="363" t="n">
        <v>4</v>
      </c>
      <c r="AL2" s="363"/>
      <c r="AM2" s="363"/>
      <c r="AN2" s="363"/>
      <c r="AO2" s="363" t="n">
        <v>5</v>
      </c>
      <c r="AP2" s="363"/>
      <c r="AQ2" s="363"/>
      <c r="AR2" s="363"/>
      <c r="AS2" s="363" t="n">
        <v>6</v>
      </c>
      <c r="AT2" s="363"/>
      <c r="AU2" s="363"/>
      <c r="AV2" s="363"/>
      <c r="AW2" s="363" t="n">
        <v>7</v>
      </c>
      <c r="AX2" s="363"/>
      <c r="AY2" s="363"/>
      <c r="AZ2" s="363"/>
      <c r="BA2" s="363" t="n">
        <v>8</v>
      </c>
      <c r="BB2" s="363"/>
      <c r="BC2" s="363"/>
      <c r="BD2" s="363"/>
      <c r="BE2" s="363" t="n">
        <v>9</v>
      </c>
      <c r="BF2" s="363"/>
      <c r="BG2" s="363"/>
      <c r="BH2" s="363"/>
      <c r="BI2" s="363" t="n">
        <v>10</v>
      </c>
      <c r="BJ2" s="363"/>
      <c r="BK2" s="363"/>
      <c r="BL2" s="363"/>
      <c r="BM2" s="363" t="n">
        <v>11</v>
      </c>
      <c r="BN2" s="363"/>
      <c r="BO2" s="363"/>
      <c r="BP2" s="363"/>
      <c r="BQ2" s="363" t="n">
        <v>12</v>
      </c>
      <c r="BR2" s="363"/>
      <c r="BS2" s="363"/>
      <c r="BT2" s="363"/>
      <c r="BU2" s="363" t="n">
        <v>1</v>
      </c>
      <c r="BV2" s="363"/>
      <c r="BW2" s="363"/>
      <c r="BX2" s="363"/>
      <c r="BY2" s="364" t="n">
        <v>2</v>
      </c>
      <c r="BZ2" s="364"/>
      <c r="CA2" s="364"/>
      <c r="CB2" s="364"/>
      <c r="CC2" s="364" t="n">
        <v>3</v>
      </c>
      <c r="CD2" s="364"/>
      <c r="CE2" s="364"/>
      <c r="CF2" s="364"/>
      <c r="CG2" s="364" t="n">
        <v>4</v>
      </c>
      <c r="CH2" s="364"/>
      <c r="CI2" s="364"/>
      <c r="CJ2" s="364"/>
      <c r="CK2" s="364" t="n">
        <v>5</v>
      </c>
      <c r="CL2" s="364"/>
      <c r="CM2" s="364"/>
      <c r="CN2" s="364"/>
      <c r="CO2" s="364" t="n">
        <v>6</v>
      </c>
      <c r="CP2" s="364"/>
      <c r="CQ2" s="364"/>
      <c r="CR2" s="364"/>
      <c r="CS2" s="364" t="n">
        <v>7</v>
      </c>
      <c r="CT2" s="364"/>
      <c r="CU2" s="364"/>
      <c r="CV2" s="364"/>
      <c r="CW2" s="364" t="n">
        <v>8</v>
      </c>
      <c r="CX2" s="364"/>
      <c r="CY2" s="364"/>
      <c r="CZ2" s="364"/>
      <c r="DA2" s="364" t="n">
        <v>9</v>
      </c>
      <c r="DB2" s="364"/>
      <c r="DC2" s="364"/>
      <c r="DD2" s="364"/>
      <c r="DE2" s="364" t="n">
        <v>10</v>
      </c>
      <c r="DF2" s="364"/>
      <c r="DG2" s="364"/>
      <c r="DH2" s="364"/>
      <c r="DI2" s="217" t="n">
        <v>11</v>
      </c>
      <c r="DJ2" s="374"/>
      <c r="DK2" s="374"/>
      <c r="DL2" s="377"/>
      <c r="DM2" s="217" t="n">
        <v>12</v>
      </c>
      <c r="DN2" s="374"/>
      <c r="DO2" s="374"/>
      <c r="DP2" s="377"/>
      <c r="DQ2" s="376" t="n">
        <v>1</v>
      </c>
      <c r="DR2" s="378"/>
    </row>
    <row r="3" ht="30" customHeight="1">
      <c r="B3" s="361" t="s">
        <v>175</v>
      </c>
      <c r="C3" s="361"/>
      <c r="D3" s="336" t="s">
        <v>176</v>
      </c>
      <c r="E3" s="333" t="n">
        <v>1</v>
      </c>
      <c r="F3" s="332" t="n">
        <v>2</v>
      </c>
      <c r="G3" s="332" t="n">
        <v>3</v>
      </c>
      <c r="H3" s="332" t="n">
        <v>4</v>
      </c>
      <c r="I3" s="332" t="n">
        <v>1</v>
      </c>
      <c r="J3" s="332" t="n">
        <v>2</v>
      </c>
      <c r="K3" s="332" t="n">
        <v>3</v>
      </c>
      <c r="L3" s="332" t="n">
        <v>4</v>
      </c>
      <c r="M3" s="333" t="n">
        <v>1</v>
      </c>
      <c r="N3" s="332" t="n">
        <v>2</v>
      </c>
      <c r="O3" s="332" t="n">
        <v>3</v>
      </c>
      <c r="P3" s="332" t="n">
        <v>4</v>
      </c>
      <c r="Q3" s="332" t="n">
        <v>1</v>
      </c>
      <c r="R3" s="332" t="n">
        <v>2</v>
      </c>
      <c r="S3" s="332" t="n">
        <v>3</v>
      </c>
      <c r="T3" s="332" t="n">
        <v>4</v>
      </c>
      <c r="U3" s="333" t="n">
        <v>1</v>
      </c>
      <c r="V3" s="332" t="n">
        <v>2</v>
      </c>
      <c r="W3" s="332" t="n">
        <v>3</v>
      </c>
      <c r="X3" s="332" t="n">
        <v>4</v>
      </c>
      <c r="Y3" s="332" t="n">
        <v>1</v>
      </c>
      <c r="Z3" s="332" t="n">
        <v>2</v>
      </c>
      <c r="AA3" s="332" t="n">
        <v>3</v>
      </c>
      <c r="AB3" s="332" t="n">
        <v>4</v>
      </c>
      <c r="AC3" s="333" t="n">
        <v>1</v>
      </c>
      <c r="AD3" s="332" t="n">
        <v>2</v>
      </c>
      <c r="AE3" s="332" t="n">
        <v>3</v>
      </c>
      <c r="AF3" s="332" t="n">
        <v>4</v>
      </c>
      <c r="AG3" s="332" t="n">
        <v>1</v>
      </c>
      <c r="AH3" s="332" t="n">
        <v>2</v>
      </c>
      <c r="AI3" s="332" t="n">
        <v>3</v>
      </c>
      <c r="AJ3" s="332" t="n">
        <v>4</v>
      </c>
      <c r="AK3" s="333" t="n">
        <v>1</v>
      </c>
      <c r="AL3" s="332" t="n">
        <v>2</v>
      </c>
      <c r="AM3" s="332" t="n">
        <v>3</v>
      </c>
      <c r="AN3" s="332" t="n">
        <v>4</v>
      </c>
      <c r="AO3" s="332" t="n">
        <v>1</v>
      </c>
      <c r="AP3" s="332" t="n">
        <v>2</v>
      </c>
      <c r="AQ3" s="332" t="n">
        <v>3</v>
      </c>
      <c r="AR3" s="332" t="n">
        <v>4</v>
      </c>
      <c r="AS3" s="333" t="n">
        <v>1</v>
      </c>
      <c r="AT3" s="332" t="n">
        <v>2</v>
      </c>
      <c r="AU3" s="332" t="n">
        <v>3</v>
      </c>
      <c r="AV3" s="332" t="n">
        <v>4</v>
      </c>
      <c r="AW3" s="332" t="n">
        <v>1</v>
      </c>
      <c r="AX3" s="332" t="n">
        <v>2</v>
      </c>
      <c r="AY3" s="332" t="n">
        <v>3</v>
      </c>
      <c r="AZ3" s="332" t="n">
        <v>4</v>
      </c>
      <c r="BA3" s="333" t="n">
        <v>1</v>
      </c>
      <c r="BB3" s="332" t="n">
        <v>2</v>
      </c>
      <c r="BC3" s="332" t="n">
        <v>3</v>
      </c>
      <c r="BD3" s="332" t="n">
        <v>4</v>
      </c>
      <c r="BE3" s="332" t="n">
        <v>1</v>
      </c>
      <c r="BF3" s="332" t="n">
        <v>2</v>
      </c>
      <c r="BG3" s="332" t="n">
        <v>3</v>
      </c>
      <c r="BH3" s="332" t="n">
        <v>4</v>
      </c>
      <c r="BI3" s="333" t="n">
        <v>1</v>
      </c>
      <c r="BJ3" s="332" t="n">
        <v>2</v>
      </c>
      <c r="BK3" s="332" t="n">
        <v>3</v>
      </c>
      <c r="BL3" s="332" t="n">
        <v>4</v>
      </c>
      <c r="BM3" s="332" t="n">
        <v>1</v>
      </c>
      <c r="BN3" s="332" t="n">
        <v>2</v>
      </c>
      <c r="BO3" s="332" t="n">
        <v>3</v>
      </c>
      <c r="BP3" s="332" t="n">
        <v>4</v>
      </c>
      <c r="BQ3" s="334" t="n">
        <v>1</v>
      </c>
      <c r="BR3" s="334" t="n">
        <v>2</v>
      </c>
      <c r="BS3" s="334" t="n">
        <v>3</v>
      </c>
      <c r="BT3" s="334" t="n">
        <v>4</v>
      </c>
      <c r="BU3" s="334" t="n">
        <v>1</v>
      </c>
      <c r="BV3" s="334" t="n">
        <v>2</v>
      </c>
      <c r="BW3" s="334" t="n">
        <v>3</v>
      </c>
      <c r="BX3" s="217" t="n">
        <v>4</v>
      </c>
      <c r="BY3" s="332" t="n">
        <v>1</v>
      </c>
      <c r="BZ3" s="334" t="n">
        <v>2</v>
      </c>
      <c r="CA3" s="334" t="n">
        <v>3</v>
      </c>
      <c r="CB3" s="334" t="n">
        <v>4</v>
      </c>
      <c r="CC3" s="334" t="n">
        <v>1</v>
      </c>
      <c r="CD3" s="334" t="n">
        <v>2</v>
      </c>
      <c r="CE3" s="334" t="n">
        <v>3</v>
      </c>
      <c r="CF3" s="334" t="n">
        <v>4</v>
      </c>
      <c r="CG3" s="334" t="n">
        <v>1</v>
      </c>
      <c r="CH3" s="334" t="n">
        <v>2</v>
      </c>
      <c r="CI3" s="334" t="n">
        <v>3</v>
      </c>
      <c r="CJ3" s="334" t="n">
        <v>4</v>
      </c>
      <c r="CK3" s="334" t="n">
        <v>1</v>
      </c>
      <c r="CL3" s="334" t="n">
        <v>2</v>
      </c>
      <c r="CM3" s="334" t="n">
        <v>3</v>
      </c>
      <c r="CN3" s="334" t="n">
        <v>4</v>
      </c>
      <c r="CO3" s="334" t="n">
        <v>1</v>
      </c>
      <c r="CP3" s="334" t="n">
        <v>2</v>
      </c>
      <c r="CQ3" s="334" t="n">
        <v>3</v>
      </c>
      <c r="CR3" s="334" t="n">
        <v>4</v>
      </c>
      <c r="CS3" s="334" t="n">
        <v>1</v>
      </c>
      <c r="CT3" s="334" t="n">
        <v>2</v>
      </c>
      <c r="CU3" s="334" t="n">
        <v>3</v>
      </c>
      <c r="CV3" s="334" t="n">
        <v>4</v>
      </c>
      <c r="CW3" s="334" t="n">
        <v>1</v>
      </c>
      <c r="CX3" s="334" t="n">
        <v>2</v>
      </c>
      <c r="CY3" s="334" t="n">
        <v>3</v>
      </c>
      <c r="CZ3" s="334" t="n">
        <v>4</v>
      </c>
      <c r="DA3" s="334" t="n">
        <v>1</v>
      </c>
      <c r="DB3" s="334" t="n">
        <v>2</v>
      </c>
      <c r="DC3" s="334" t="n">
        <v>3</v>
      </c>
      <c r="DD3" s="334" t="n">
        <v>4</v>
      </c>
      <c r="DE3" s="334" t="n">
        <v>1</v>
      </c>
      <c r="DF3" s="334" t="n">
        <v>2</v>
      </c>
      <c r="DG3" s="334" t="n">
        <v>3</v>
      </c>
      <c r="DH3" s="334" t="n">
        <v>4</v>
      </c>
      <c r="DI3" s="364" t="n">
        <v>1</v>
      </c>
      <c r="DJ3" s="364" t="n">
        <v>2</v>
      </c>
      <c r="DK3" s="364" t="n">
        <v>3</v>
      </c>
      <c r="DL3" s="364" t="n">
        <v>4</v>
      </c>
      <c r="DM3" s="364" t="n">
        <v>1</v>
      </c>
      <c r="DN3" s="364" t="n">
        <v>2</v>
      </c>
      <c r="DO3" s="364" t="n">
        <v>1</v>
      </c>
      <c r="DP3" s="364" t="n">
        <v>2</v>
      </c>
      <c r="DQ3" s="364" t="n">
        <v>3</v>
      </c>
      <c r="DR3" s="364" t="n">
        <v>4</v>
      </c>
    </row>
    <row r="4" ht="30" customHeight="1">
      <c r="B4" s="367" t="s">
        <v>177</v>
      </c>
      <c r="C4" s="7" t="s">
        <v>178</v>
      </c>
      <c r="D4" s="46" t="s">
        <v>179</v>
      </c>
      <c r="E4" s="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86"/>
      <c r="R4" s="86"/>
      <c r="S4" s="86"/>
      <c r="T4" s="86"/>
      <c r="U4" s="86"/>
      <c r="V4" s="86"/>
      <c r="W4" s="207"/>
      <c r="X4" s="50"/>
      <c r="Y4" s="50"/>
      <c r="Z4" s="207"/>
      <c r="AA4" s="207"/>
      <c r="AB4" s="469" t="s">
        <v>180</v>
      </c>
      <c r="AC4" s="207"/>
      <c r="AD4" s="207"/>
      <c r="AE4" s="50"/>
      <c r="AF4" s="50"/>
      <c r="AG4" s="50"/>
      <c r="AH4" s="50"/>
      <c r="AI4" s="50"/>
      <c r="AJ4" s="50"/>
      <c r="AK4" s="50"/>
      <c r="AL4" s="50"/>
      <c r="AM4" s="57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89"/>
      <c r="BB4" s="89"/>
      <c r="BC4" s="89"/>
      <c r="BD4" s="8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0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5"/>
    </row>
    <row r="5" ht="30" customHeight="1">
      <c r="B5" s="367"/>
      <c r="C5" s="193" t="s">
        <v>181</v>
      </c>
      <c r="D5" s="199" t="s">
        <v>182</v>
      </c>
      <c r="E5" s="9"/>
      <c r="F5" s="50"/>
      <c r="G5" s="50"/>
      <c r="H5" s="50"/>
      <c r="I5" s="50"/>
      <c r="J5" s="50"/>
      <c r="K5" s="50"/>
      <c r="L5" s="50"/>
      <c r="M5" s="86"/>
      <c r="N5" s="86"/>
      <c r="O5" s="86"/>
      <c r="P5" s="80"/>
      <c r="Q5" s="86"/>
      <c r="R5" s="86"/>
      <c r="S5" s="86"/>
      <c r="T5" s="86"/>
      <c r="U5" s="70"/>
      <c r="V5" s="86"/>
      <c r="W5" s="86"/>
      <c r="X5" s="86"/>
      <c r="Y5" s="86"/>
      <c r="Z5" s="86"/>
      <c r="AA5" s="86"/>
      <c r="AB5" s="86"/>
      <c r="AC5" s="86"/>
      <c r="AD5" s="86"/>
      <c r="AE5" s="86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46"/>
      <c r="AT5" s="245"/>
      <c r="AU5" s="243"/>
      <c r="AV5" s="243"/>
      <c r="AW5" s="243"/>
      <c r="AX5" s="46"/>
      <c r="AY5" s="46"/>
      <c r="AZ5" s="46"/>
      <c r="BA5" s="46"/>
      <c r="BB5" s="243"/>
      <c r="BC5" s="206"/>
      <c r="BD5" s="8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0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9"/>
      <c r="DN5" s="119"/>
      <c r="DO5" s="119"/>
      <c r="DP5" s="119"/>
      <c r="DQ5" s="119"/>
      <c r="DR5" s="119"/>
      <c r="DS5" s="115"/>
    </row>
    <row r="6" ht="16.5" customHeight="1">
      <c r="B6" s="367"/>
      <c r="C6" s="208" t="s">
        <v>183</v>
      </c>
      <c r="D6" s="200" t="s">
        <v>184</v>
      </c>
      <c r="E6" s="9"/>
      <c r="F6" s="50"/>
      <c r="G6" s="50"/>
      <c r="H6" s="50"/>
      <c r="I6" s="50"/>
      <c r="J6" s="50"/>
      <c r="K6" s="50"/>
      <c r="L6" s="50"/>
      <c r="M6" s="86"/>
      <c r="N6" s="86"/>
      <c r="O6" s="86"/>
      <c r="P6" s="80"/>
      <c r="Q6" s="86"/>
      <c r="R6" s="86"/>
      <c r="S6" s="86"/>
      <c r="T6" s="86"/>
      <c r="U6" s="70"/>
      <c r="V6" s="86"/>
      <c r="W6" s="86"/>
      <c r="X6" s="86"/>
      <c r="Y6" s="86"/>
      <c r="Z6" s="86"/>
      <c r="AA6" s="86"/>
      <c r="AB6" s="86"/>
      <c r="AC6" s="86"/>
      <c r="AD6" s="86"/>
      <c r="AE6" s="86"/>
      <c r="AF6" s="50"/>
      <c r="AG6" s="50"/>
      <c r="AH6" s="50"/>
      <c r="AI6" s="50"/>
      <c r="AJ6" s="50"/>
      <c r="AK6" s="50"/>
      <c r="AL6" s="50"/>
      <c r="AM6" s="57"/>
      <c r="AN6" s="50"/>
      <c r="AO6" s="50"/>
      <c r="AP6" s="23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0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5"/>
    </row>
    <row r="7" ht="30" customHeight="1">
      <c r="B7" s="367"/>
      <c r="C7" s="209" t="s">
        <v>185</v>
      </c>
      <c r="D7" s="204" t="s">
        <v>184</v>
      </c>
      <c r="E7" s="19"/>
      <c r="F7" s="46"/>
      <c r="G7" s="50"/>
      <c r="H7" s="50"/>
      <c r="I7" s="50"/>
      <c r="J7" s="50"/>
      <c r="K7" s="50"/>
      <c r="L7" s="50"/>
      <c r="M7" s="86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89"/>
      <c r="BB7" s="89"/>
      <c r="BC7" s="89"/>
      <c r="BD7" s="89"/>
      <c r="BE7" s="119"/>
      <c r="BF7" s="119"/>
      <c r="BG7" s="119"/>
      <c r="BH7" s="119"/>
      <c r="BI7" s="119"/>
      <c r="BJ7" s="226" t="s">
        <v>185</v>
      </c>
      <c r="BK7" s="226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0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  <c r="DM7" s="119"/>
      <c r="DN7" s="119"/>
      <c r="DO7" s="119"/>
      <c r="DP7" s="119"/>
      <c r="DQ7" s="119"/>
      <c r="DR7" s="119"/>
    </row>
    <row r="8" ht="30" customHeight="1">
      <c r="B8" s="367"/>
      <c r="C8" s="209" t="s">
        <v>186</v>
      </c>
      <c r="D8" s="204" t="s">
        <v>182</v>
      </c>
      <c r="E8" s="19"/>
      <c r="F8" s="46"/>
      <c r="G8" s="50"/>
      <c r="H8" s="50"/>
      <c r="I8" s="50"/>
      <c r="J8" s="50"/>
      <c r="K8" s="50"/>
      <c r="L8" s="50"/>
      <c r="M8" s="86"/>
      <c r="N8" s="86"/>
      <c r="O8" s="189"/>
      <c r="P8" s="190"/>
      <c r="Q8" s="189"/>
      <c r="R8" s="189"/>
      <c r="S8" s="50"/>
      <c r="T8" s="50"/>
      <c r="U8" s="9"/>
      <c r="V8" s="50"/>
      <c r="W8" s="50"/>
      <c r="X8" s="46"/>
      <c r="Y8" s="46"/>
      <c r="Z8" s="207"/>
      <c r="AA8" s="207"/>
      <c r="AB8" s="46"/>
      <c r="AC8" s="50"/>
      <c r="AD8" s="207"/>
      <c r="AE8" s="46"/>
      <c r="AF8" s="50"/>
      <c r="AG8" s="50"/>
      <c r="AH8" s="50"/>
      <c r="AI8" s="50"/>
      <c r="AJ8" s="50"/>
      <c r="AK8" s="50"/>
      <c r="AL8" s="207"/>
      <c r="AM8" s="207"/>
      <c r="AN8" s="207"/>
      <c r="AO8" s="207"/>
      <c r="AP8" s="207"/>
      <c r="AQ8" s="207"/>
      <c r="AR8" s="207"/>
      <c r="AS8" s="46"/>
      <c r="AT8" s="207"/>
      <c r="AU8" s="46"/>
      <c r="AV8" s="46"/>
      <c r="AW8" s="46"/>
      <c r="AX8" s="46"/>
      <c r="AY8" s="46"/>
      <c r="AZ8" s="46"/>
      <c r="BA8" s="207"/>
      <c r="BB8" s="206"/>
      <c r="BC8" s="89"/>
      <c r="BD8" s="8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0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</row>
    <row r="9" ht="30" customHeight="1">
      <c r="B9" s="367"/>
      <c r="C9" s="208" t="s">
        <v>187</v>
      </c>
      <c r="D9" s="103" t="s">
        <v>182</v>
      </c>
      <c r="E9" s="9"/>
      <c r="F9" s="50"/>
      <c r="G9" s="50"/>
      <c r="H9" s="50"/>
      <c r="I9" s="50"/>
      <c r="J9" s="50"/>
      <c r="K9" s="50"/>
      <c r="L9" s="50"/>
      <c r="M9" s="86"/>
      <c r="N9" s="86"/>
      <c r="O9" s="86"/>
      <c r="P9" s="80"/>
      <c r="Q9" s="86"/>
      <c r="R9" s="86"/>
      <c r="S9" s="86"/>
      <c r="T9" s="86"/>
      <c r="U9" s="70"/>
      <c r="V9" s="86"/>
      <c r="W9" s="86"/>
      <c r="X9" s="86"/>
      <c r="Y9" s="86"/>
      <c r="Z9" s="86"/>
      <c r="AA9" s="86"/>
      <c r="AB9" s="86"/>
      <c r="AC9" s="86"/>
      <c r="AD9" s="86"/>
      <c r="AE9" s="86"/>
      <c r="AF9" s="50"/>
      <c r="AG9" s="50"/>
      <c r="AH9" s="50"/>
      <c r="AI9" s="50"/>
      <c r="AJ9" s="50"/>
      <c r="AK9" s="50"/>
      <c r="AL9" s="50"/>
      <c r="AM9" s="50"/>
      <c r="AN9" s="50"/>
      <c r="AO9" s="207"/>
      <c r="AP9" s="207"/>
      <c r="AQ9" s="207"/>
      <c r="AR9" s="207"/>
      <c r="AS9" s="46"/>
      <c r="AT9" s="46"/>
      <c r="AU9" s="243"/>
      <c r="AV9" s="241"/>
      <c r="AW9" s="243"/>
      <c r="AX9" s="46"/>
      <c r="AY9" s="46"/>
      <c r="AZ9" s="46"/>
      <c r="BA9" s="46"/>
      <c r="BB9" s="206"/>
      <c r="BC9" s="89"/>
      <c r="BD9" s="8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0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9"/>
      <c r="DN9" s="119"/>
      <c r="DO9" s="119"/>
      <c r="DP9" s="119"/>
      <c r="DQ9" s="119"/>
      <c r="DR9" s="119"/>
      <c r="DS9" s="115"/>
    </row>
    <row r="10" ht="30" customHeight="1">
      <c r="B10" s="367"/>
      <c r="C10" s="209" t="s">
        <v>188</v>
      </c>
      <c r="D10" s="201" t="s">
        <v>182</v>
      </c>
      <c r="E10" s="19"/>
      <c r="F10" s="46"/>
      <c r="G10" s="50"/>
      <c r="H10" s="50"/>
      <c r="I10" s="50"/>
      <c r="J10" s="50"/>
      <c r="K10" s="50"/>
      <c r="L10" s="57"/>
      <c r="M10" s="50"/>
      <c r="N10" s="50"/>
      <c r="O10" s="189"/>
      <c r="P10" s="190"/>
      <c r="Q10" s="189"/>
      <c r="R10" s="189"/>
      <c r="S10" s="50"/>
      <c r="T10" s="50"/>
      <c r="U10" s="50"/>
      <c r="V10" s="46"/>
      <c r="W10" s="207"/>
      <c r="X10" s="207"/>
      <c r="Y10" s="207"/>
      <c r="Z10" s="207"/>
      <c r="AA10" s="207"/>
      <c r="AB10" s="207"/>
      <c r="AC10" s="207"/>
      <c r="AD10" s="207"/>
      <c r="AE10" s="46"/>
      <c r="AF10" s="50"/>
      <c r="AG10" s="50"/>
      <c r="AH10" s="50"/>
      <c r="AI10" s="50"/>
      <c r="AJ10" s="50"/>
      <c r="AK10" s="50"/>
      <c r="AL10" s="50"/>
      <c r="AM10" s="50"/>
      <c r="AN10" s="50"/>
      <c r="AO10" s="207"/>
      <c r="AP10" s="207"/>
      <c r="AQ10" s="207"/>
      <c r="AR10" s="207"/>
      <c r="AS10" s="239"/>
      <c r="AT10" s="207"/>
      <c r="AU10" s="244"/>
      <c r="AV10" s="241"/>
      <c r="AW10" s="241"/>
      <c r="AX10" s="46"/>
      <c r="AY10" s="46"/>
      <c r="AZ10" s="46"/>
      <c r="BA10" s="236"/>
      <c r="BB10" s="206"/>
      <c r="BC10" s="89"/>
      <c r="BD10" s="8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0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  <c r="DM10" s="119"/>
      <c r="DN10" s="119"/>
      <c r="DO10" s="119"/>
      <c r="DP10" s="119"/>
      <c r="DQ10" s="119"/>
      <c r="DR10" s="119"/>
    </row>
    <row r="11" ht="28.5" customHeight="1">
      <c r="B11" s="367"/>
      <c r="C11" s="208" t="s">
        <v>189</v>
      </c>
      <c r="D11" s="200" t="s">
        <v>182</v>
      </c>
      <c r="E11" s="9"/>
      <c r="F11" s="50"/>
      <c r="G11" s="50"/>
      <c r="H11" s="50"/>
      <c r="I11" s="50"/>
      <c r="J11" s="50"/>
      <c r="K11" s="50"/>
      <c r="L11" s="50"/>
      <c r="M11" s="86"/>
      <c r="N11" s="86"/>
      <c r="O11" s="86"/>
      <c r="P11" s="80"/>
      <c r="Q11" s="86"/>
      <c r="R11" s="86"/>
      <c r="S11" s="86"/>
      <c r="T11" s="86"/>
      <c r="U11" s="70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50"/>
      <c r="AG11" s="50"/>
      <c r="AH11" s="50"/>
      <c r="AI11" s="50"/>
      <c r="AJ11" s="50"/>
      <c r="AK11" s="50"/>
      <c r="AL11" s="50"/>
      <c r="AM11" s="50"/>
      <c r="AN11" s="50"/>
      <c r="AO11" s="207"/>
      <c r="AP11" s="239"/>
      <c r="AQ11" s="241"/>
      <c r="AR11" s="207"/>
      <c r="AS11" s="207"/>
      <c r="AT11" s="239"/>
      <c r="AU11" s="242"/>
      <c r="AV11" s="241"/>
      <c r="AW11" s="206"/>
      <c r="AX11" s="50"/>
      <c r="AY11" s="50"/>
      <c r="AZ11" s="50"/>
      <c r="BA11" s="89"/>
      <c r="BB11" s="89"/>
      <c r="BC11" s="89"/>
      <c r="BD11" s="8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0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9"/>
      <c r="DN11" s="119"/>
      <c r="DO11" s="119"/>
      <c r="DP11" s="119"/>
      <c r="DQ11" s="119"/>
      <c r="DR11" s="119"/>
      <c r="DS11" s="115"/>
    </row>
    <row r="12" ht="16.5" customHeight="1">
      <c r="B12" s="367"/>
      <c r="C12" s="193" t="s">
        <v>190</v>
      </c>
      <c r="D12" s="200" t="s">
        <v>182</v>
      </c>
      <c r="E12" s="9"/>
      <c r="F12" s="50"/>
      <c r="G12" s="50"/>
      <c r="H12" s="50"/>
      <c r="I12" s="50"/>
      <c r="J12" s="50"/>
      <c r="K12" s="50"/>
      <c r="L12" s="50"/>
      <c r="M12" s="86"/>
      <c r="N12" s="86"/>
      <c r="O12" s="86"/>
      <c r="P12" s="80"/>
      <c r="Q12" s="86"/>
      <c r="R12" s="86"/>
      <c r="S12" s="86"/>
      <c r="T12" s="86"/>
      <c r="U12" s="70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50"/>
      <c r="AG12" s="50"/>
      <c r="AH12" s="50"/>
      <c r="AI12" s="50"/>
      <c r="AJ12" s="50"/>
      <c r="AK12" s="50"/>
      <c r="AL12" s="50"/>
      <c r="AM12" s="50"/>
      <c r="AN12" s="50"/>
      <c r="AO12" s="238"/>
      <c r="AP12" s="239"/>
      <c r="AQ12" s="241"/>
      <c r="AR12" s="238"/>
      <c r="AS12" s="238"/>
      <c r="AT12" s="111"/>
      <c r="AU12" s="111"/>
      <c r="AV12" s="238"/>
      <c r="AW12" s="111"/>
      <c r="AX12" s="111"/>
      <c r="AY12" s="111"/>
      <c r="AZ12" s="111"/>
      <c r="BA12" s="206"/>
      <c r="BB12" s="89"/>
      <c r="BC12" s="89"/>
      <c r="BD12" s="8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0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9"/>
      <c r="DN12" s="119"/>
      <c r="DO12" s="119"/>
      <c r="DP12" s="119"/>
      <c r="DQ12" s="119"/>
      <c r="DR12" s="119"/>
      <c r="DS12" s="115"/>
    </row>
    <row r="13" ht="30" customHeight="1">
      <c r="B13" s="367"/>
      <c r="C13" s="193" t="s">
        <v>191</v>
      </c>
      <c r="D13" s="200" t="s">
        <v>182</v>
      </c>
      <c r="E13" s="9"/>
      <c r="F13" s="50"/>
      <c r="G13" s="50"/>
      <c r="H13" s="50"/>
      <c r="I13" s="50"/>
      <c r="J13" s="50"/>
      <c r="K13" s="50"/>
      <c r="L13" s="50"/>
      <c r="M13" s="86"/>
      <c r="N13" s="86"/>
      <c r="O13" s="86"/>
      <c r="P13" s="80"/>
      <c r="Q13" s="86"/>
      <c r="R13" s="86"/>
      <c r="S13" s="86"/>
      <c r="T13" s="86"/>
      <c r="U13" s="70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50"/>
      <c r="AG13" s="50"/>
      <c r="AH13" s="50"/>
      <c r="AI13" s="50"/>
      <c r="AJ13" s="206"/>
      <c r="AK13" s="50"/>
      <c r="AL13" s="50"/>
      <c r="AM13" s="57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89"/>
      <c r="BB13" s="89"/>
      <c r="BC13" s="89"/>
      <c r="BD13" s="8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0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5"/>
    </row>
    <row r="14" ht="16.5" customHeight="1">
      <c r="B14" s="367"/>
      <c r="C14" s="208" t="s">
        <v>192</v>
      </c>
      <c r="D14" s="200" t="s">
        <v>182</v>
      </c>
      <c r="E14" s="9"/>
      <c r="F14" s="50"/>
      <c r="G14" s="50"/>
      <c r="H14" s="50"/>
      <c r="I14" s="50"/>
      <c r="J14" s="50"/>
      <c r="K14" s="50"/>
      <c r="L14" s="50"/>
      <c r="M14" s="86"/>
      <c r="N14" s="86"/>
      <c r="O14" s="86"/>
      <c r="P14" s="80"/>
      <c r="Q14" s="86"/>
      <c r="R14" s="86"/>
      <c r="S14" s="86"/>
      <c r="T14" s="86"/>
      <c r="U14" s="70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07"/>
      <c r="AS14" s="207"/>
      <c r="AT14" s="207"/>
      <c r="AU14" s="50"/>
      <c r="AV14" s="207"/>
      <c r="AW14" s="206"/>
      <c r="AX14" s="50"/>
      <c r="AY14" s="50"/>
      <c r="AZ14" s="50"/>
      <c r="BA14" s="89"/>
      <c r="BB14" s="89"/>
      <c r="BC14" s="89"/>
      <c r="BD14" s="8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0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9"/>
      <c r="DN14" s="119"/>
      <c r="DO14" s="119"/>
      <c r="DP14" s="119"/>
      <c r="DQ14" s="119"/>
      <c r="DR14" s="119"/>
      <c r="DS14" s="115"/>
    </row>
    <row r="15" ht="30" customHeight="1">
      <c r="B15" s="367"/>
      <c r="C15" s="208" t="s">
        <v>193</v>
      </c>
      <c r="D15" s="200" t="s">
        <v>182</v>
      </c>
      <c r="E15" s="9"/>
      <c r="F15" s="50"/>
      <c r="G15" s="50"/>
      <c r="H15" s="50"/>
      <c r="I15" s="50"/>
      <c r="J15" s="50"/>
      <c r="K15" s="50"/>
      <c r="L15" s="50"/>
      <c r="M15" s="86"/>
      <c r="N15" s="86"/>
      <c r="O15" s="86"/>
      <c r="P15" s="80"/>
      <c r="Q15" s="86"/>
      <c r="R15" s="86"/>
      <c r="S15" s="86"/>
      <c r="T15" s="86"/>
      <c r="U15" s="70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38"/>
      <c r="AS15" s="207"/>
      <c r="AT15" s="207"/>
      <c r="AU15" s="50"/>
      <c r="AV15" s="206"/>
      <c r="AW15" s="50"/>
      <c r="AX15" s="50"/>
      <c r="AY15" s="50"/>
      <c r="AZ15" s="50"/>
      <c r="BA15" s="89"/>
      <c r="BB15" s="89"/>
      <c r="BC15" s="89"/>
      <c r="BD15" s="8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0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5"/>
    </row>
    <row r="16" ht="16.5" customHeight="1">
      <c r="B16" s="367"/>
      <c r="C16" s="208" t="s">
        <v>194</v>
      </c>
      <c r="D16" s="200" t="s">
        <v>182</v>
      </c>
      <c r="E16" s="9"/>
      <c r="F16" s="50"/>
      <c r="G16" s="50"/>
      <c r="H16" s="50"/>
      <c r="I16" s="50"/>
      <c r="J16" s="50"/>
      <c r="K16" s="50"/>
      <c r="L16" s="50"/>
      <c r="M16" s="57"/>
      <c r="N16" s="86"/>
      <c r="O16" s="86"/>
      <c r="P16" s="80"/>
      <c r="Q16" s="86"/>
      <c r="R16" s="86"/>
      <c r="S16" s="86"/>
      <c r="T16" s="86"/>
      <c r="U16" s="70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50"/>
      <c r="AG16" s="50"/>
      <c r="AH16" s="50"/>
      <c r="AI16" s="50"/>
      <c r="AJ16" s="50"/>
      <c r="AK16" s="50"/>
      <c r="AL16" s="50"/>
      <c r="AM16" s="50"/>
      <c r="AN16" s="238"/>
      <c r="AO16" s="207"/>
      <c r="AP16" s="207"/>
      <c r="AQ16" s="46"/>
      <c r="AR16" s="207"/>
      <c r="AS16" s="207"/>
      <c r="AT16" s="46"/>
      <c r="AU16" s="207"/>
      <c r="AV16" s="238"/>
      <c r="AW16" s="111"/>
      <c r="AX16" s="111"/>
      <c r="AY16" s="111"/>
      <c r="AZ16" s="111"/>
      <c r="BA16" s="111"/>
      <c r="BB16" s="206"/>
      <c r="BC16" s="89"/>
      <c r="BD16" s="8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0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9"/>
      <c r="DN16" s="119"/>
      <c r="DO16" s="119"/>
      <c r="DP16" s="119"/>
      <c r="DQ16" s="119"/>
      <c r="DR16" s="119"/>
      <c r="DS16" s="115"/>
    </row>
    <row r="17" ht="30" customHeight="1">
      <c r="B17" s="367"/>
      <c r="C17" s="209" t="s">
        <v>195</v>
      </c>
      <c r="D17" s="202" t="s">
        <v>182</v>
      </c>
      <c r="E17" s="19"/>
      <c r="F17" s="46"/>
      <c r="G17" s="50"/>
      <c r="H17" s="50"/>
      <c r="I17" s="50"/>
      <c r="J17" s="50"/>
      <c r="K17" s="50"/>
      <c r="L17" s="50"/>
      <c r="M17" s="33"/>
      <c r="N17" s="50"/>
      <c r="O17" s="207"/>
      <c r="P17" s="207"/>
      <c r="Q17" s="207"/>
      <c r="R17" s="207"/>
      <c r="S17" s="70"/>
      <c r="T17" s="86"/>
      <c r="U17" s="70"/>
      <c r="V17" s="86"/>
      <c r="W17" s="86"/>
      <c r="X17" s="50"/>
      <c r="Y17" s="50"/>
      <c r="Z17" s="50"/>
      <c r="AA17" s="207"/>
      <c r="AB17" s="207"/>
      <c r="AC17" s="207"/>
      <c r="AD17" s="207"/>
      <c r="AE17" s="50"/>
      <c r="AF17" s="50"/>
      <c r="AG17" s="50"/>
      <c r="AH17" s="50"/>
      <c r="AI17" s="50"/>
      <c r="AJ17" s="50"/>
      <c r="AK17" s="50"/>
      <c r="AL17" s="50"/>
      <c r="AM17" s="57"/>
      <c r="AN17" s="57"/>
      <c r="AO17" s="50"/>
      <c r="AP17" s="50"/>
      <c r="AQ17" s="50"/>
      <c r="AR17" s="50"/>
      <c r="AS17" s="236"/>
      <c r="AT17" s="238"/>
      <c r="AU17" s="111"/>
      <c r="AV17" s="111"/>
      <c r="AW17" s="238"/>
      <c r="AX17" s="111"/>
      <c r="AY17" s="111"/>
      <c r="AZ17" s="111"/>
      <c r="BA17" s="111"/>
      <c r="BB17" s="206"/>
      <c r="BC17" s="89"/>
      <c r="BD17" s="8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0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</row>
    <row r="18" ht="30" customHeight="1">
      <c r="B18" s="367"/>
      <c r="C18" s="184" t="s">
        <v>196</v>
      </c>
      <c r="D18" s="331" t="s">
        <v>197</v>
      </c>
      <c r="E18" s="19"/>
      <c r="F18" s="46"/>
      <c r="G18" s="50"/>
      <c r="H18" s="50"/>
      <c r="I18" s="50"/>
      <c r="J18" s="50"/>
      <c r="K18" s="50"/>
      <c r="L18" s="50"/>
      <c r="M18" s="57"/>
      <c r="N18" s="50"/>
      <c r="O18" s="207"/>
      <c r="P18" s="207"/>
      <c r="Q18" s="207"/>
      <c r="R18" s="207"/>
      <c r="S18" s="70"/>
      <c r="T18" s="86"/>
      <c r="U18" s="70"/>
      <c r="V18" s="86"/>
      <c r="W18" s="86"/>
      <c r="X18" s="50"/>
      <c r="Y18" s="50"/>
      <c r="Z18" s="50"/>
      <c r="AA18" s="207"/>
      <c r="AB18" s="50"/>
      <c r="AC18" s="50"/>
      <c r="AD18" s="207"/>
      <c r="AE18" s="50"/>
      <c r="AF18" s="50"/>
      <c r="AG18" s="50"/>
      <c r="AH18" s="50"/>
      <c r="AI18" s="50"/>
      <c r="AJ18" s="50"/>
      <c r="AK18" s="50"/>
      <c r="AL18" s="50"/>
      <c r="AM18" s="57"/>
      <c r="AN18" s="57"/>
      <c r="AO18" s="50"/>
      <c r="AP18" s="50"/>
      <c r="AQ18" s="50"/>
      <c r="AR18" s="50"/>
      <c r="AS18" s="238"/>
      <c r="AT18" s="238"/>
      <c r="AU18" s="111"/>
      <c r="AV18" s="111"/>
      <c r="AW18" s="238"/>
      <c r="AX18" s="111"/>
      <c r="AY18" s="111"/>
      <c r="AZ18" s="111"/>
      <c r="BA18" s="111"/>
      <c r="BB18" s="243"/>
      <c r="BC18" s="206"/>
      <c r="BD18" s="8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0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</row>
    <row r="19" ht="30" customHeight="1">
      <c r="B19" s="367"/>
      <c r="C19" s="209" t="s">
        <v>198</v>
      </c>
      <c r="D19" s="331" t="s">
        <v>197</v>
      </c>
      <c r="E19" s="19"/>
      <c r="F19" s="46"/>
      <c r="G19" s="50"/>
      <c r="H19" s="50"/>
      <c r="I19" s="50"/>
      <c r="J19" s="50"/>
      <c r="K19" s="50"/>
      <c r="L19" s="50"/>
      <c r="M19" s="57"/>
      <c r="N19" s="50"/>
      <c r="O19" s="46"/>
      <c r="P19" s="46"/>
      <c r="Q19" s="46"/>
      <c r="R19" s="46"/>
      <c r="S19" s="70"/>
      <c r="T19" s="86"/>
      <c r="U19" s="70"/>
      <c r="V19" s="86"/>
      <c r="W19" s="86"/>
      <c r="X19" s="86"/>
      <c r="Y19" s="50"/>
      <c r="Z19" s="207"/>
      <c r="AA19" s="207"/>
      <c r="AB19" s="50"/>
      <c r="AC19" s="207"/>
      <c r="AD19" s="207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238"/>
      <c r="AP19" s="238"/>
      <c r="AQ19" s="111"/>
      <c r="AR19" s="111"/>
      <c r="AS19" s="111"/>
      <c r="AT19" s="238"/>
      <c r="AU19" s="111"/>
      <c r="AV19" s="111"/>
      <c r="AW19" s="111"/>
      <c r="AX19" s="111"/>
      <c r="AY19" s="111"/>
      <c r="AZ19" s="111"/>
      <c r="BA19" s="111"/>
      <c r="BB19" s="206"/>
      <c r="BC19" s="89"/>
      <c r="BD19" s="8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0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  <c r="DM19" s="119"/>
      <c r="DN19" s="119"/>
      <c r="DO19" s="119"/>
      <c r="DP19" s="119"/>
      <c r="DQ19" s="119"/>
      <c r="DR19" s="119"/>
    </row>
    <row r="20" ht="30" customHeight="1">
      <c r="B20" s="367"/>
      <c r="C20" s="184" t="s">
        <v>199</v>
      </c>
      <c r="D20" s="331" t="s">
        <v>197</v>
      </c>
      <c r="E20" s="19"/>
      <c r="F20" s="46"/>
      <c r="G20" s="50"/>
      <c r="H20" s="50"/>
      <c r="I20" s="50"/>
      <c r="J20" s="50"/>
      <c r="K20" s="50"/>
      <c r="L20" s="50"/>
      <c r="M20" s="57"/>
      <c r="N20" s="50"/>
      <c r="O20" s="46"/>
      <c r="P20" s="46"/>
      <c r="Q20" s="46"/>
      <c r="R20" s="46"/>
      <c r="S20" s="70"/>
      <c r="T20" s="50"/>
      <c r="U20" s="50"/>
      <c r="V20" s="50"/>
      <c r="W20" s="50"/>
      <c r="X20" s="50"/>
      <c r="Y20" s="50"/>
      <c r="Z20" s="207"/>
      <c r="AA20" s="207"/>
      <c r="AB20" s="207"/>
      <c r="AC20" s="50"/>
      <c r="AD20" s="207"/>
      <c r="AE20" s="50"/>
      <c r="AF20" s="50"/>
      <c r="AG20" s="50"/>
      <c r="AH20" s="50"/>
      <c r="AI20" s="50"/>
      <c r="AJ20" s="50"/>
      <c r="AK20" s="50"/>
      <c r="AL20" s="50"/>
      <c r="AM20" s="57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238"/>
      <c r="AY20" s="238"/>
      <c r="AZ20" s="238"/>
      <c r="BA20" s="238"/>
      <c r="BB20" s="243"/>
      <c r="BC20" s="206"/>
      <c r="BD20" s="8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0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  <c r="DF20" s="119"/>
      <c r="DG20" s="119"/>
      <c r="DH20" s="119"/>
      <c r="DI20" s="119"/>
      <c r="DJ20" s="119"/>
      <c r="DK20" s="119"/>
      <c r="DL20" s="119"/>
      <c r="DM20" s="119"/>
      <c r="DN20" s="119"/>
      <c r="DO20" s="119"/>
      <c r="DP20" s="119"/>
      <c r="DQ20" s="119"/>
      <c r="DR20" s="119"/>
    </row>
    <row r="21" ht="30" customHeight="1">
      <c r="B21" s="367"/>
      <c r="C21" s="184" t="s">
        <v>200</v>
      </c>
      <c r="D21" s="331" t="s">
        <v>201</v>
      </c>
      <c r="E21" s="19"/>
      <c r="F21" s="46"/>
      <c r="G21" s="50"/>
      <c r="H21" s="50"/>
      <c r="I21" s="50"/>
      <c r="J21" s="50"/>
      <c r="K21" s="50"/>
      <c r="L21" s="50"/>
      <c r="M21" s="57"/>
      <c r="N21" s="39"/>
      <c r="O21" s="39"/>
      <c r="P21" s="39"/>
      <c r="Q21" s="39"/>
      <c r="R21" s="51"/>
      <c r="S21" s="86"/>
      <c r="T21" s="86"/>
      <c r="U21" s="70"/>
      <c r="V21" s="86"/>
      <c r="W21" s="86"/>
      <c r="X21" s="50"/>
      <c r="Y21" s="50"/>
      <c r="Z21" s="50"/>
      <c r="AA21" s="207"/>
      <c r="AB21" s="207"/>
      <c r="AC21" s="50"/>
      <c r="AD21" s="50"/>
      <c r="AE21" s="50"/>
      <c r="AF21" s="50"/>
      <c r="AG21" s="50"/>
      <c r="AH21" s="50"/>
      <c r="AI21" s="50"/>
      <c r="AJ21" s="50"/>
      <c r="AK21" s="50"/>
      <c r="AL21" s="238"/>
      <c r="AM21" s="111"/>
      <c r="AN21" s="111"/>
      <c r="AO21" s="111"/>
      <c r="AP21" s="111"/>
      <c r="AQ21" s="111"/>
      <c r="AR21" s="111"/>
      <c r="AS21" s="111"/>
      <c r="AT21" s="111"/>
      <c r="AU21" s="111"/>
      <c r="AV21" s="206"/>
      <c r="AW21" s="50"/>
      <c r="AX21" s="50"/>
      <c r="AY21" s="50"/>
      <c r="AZ21" s="50"/>
      <c r="BA21" s="89"/>
      <c r="BB21" s="89"/>
      <c r="BC21" s="89"/>
      <c r="BD21" s="8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0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19"/>
      <c r="DL21" s="119"/>
      <c r="DM21" s="119"/>
      <c r="DN21" s="119"/>
      <c r="DO21" s="119"/>
      <c r="DP21" s="119"/>
      <c r="DQ21" s="119"/>
      <c r="DR21" s="119"/>
    </row>
    <row r="22" ht="30" customHeight="1">
      <c r="B22" s="368"/>
      <c r="C22" s="210" t="s">
        <v>202</v>
      </c>
      <c r="D22" s="46" t="s">
        <v>203</v>
      </c>
      <c r="E22" s="19"/>
      <c r="F22" s="46"/>
      <c r="G22" s="50"/>
      <c r="H22" s="50"/>
      <c r="I22" s="50"/>
      <c r="J22" s="50"/>
      <c r="K22" s="50"/>
      <c r="L22" s="50"/>
      <c r="M22" s="57"/>
      <c r="N22" s="46"/>
      <c r="O22" s="46"/>
      <c r="P22" s="50"/>
      <c r="Q22" s="50"/>
      <c r="R22" s="53"/>
      <c r="S22" s="86"/>
      <c r="T22" s="86"/>
      <c r="U22" s="70"/>
      <c r="V22" s="86"/>
      <c r="W22" s="86"/>
      <c r="X22" s="86"/>
      <c r="Y22" s="86"/>
      <c r="Z22" s="86"/>
      <c r="AA22" s="50"/>
      <c r="AB22" s="207"/>
      <c r="AC22" s="207"/>
      <c r="AD22" s="207"/>
      <c r="AE22" s="50"/>
      <c r="AF22" s="50"/>
      <c r="AG22" s="50"/>
      <c r="AH22" s="50"/>
      <c r="AI22" s="50"/>
      <c r="AJ22" s="50"/>
      <c r="AK22" s="50"/>
      <c r="AL22" s="50"/>
      <c r="AM22" s="80"/>
      <c r="AN22" s="86"/>
      <c r="AO22" s="86"/>
      <c r="AP22" s="86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89"/>
      <c r="BB22" s="89"/>
      <c r="BC22" s="89"/>
      <c r="BD22" s="8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0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  <c r="DF22" s="119"/>
      <c r="DG22" s="119"/>
      <c r="DH22" s="119"/>
      <c r="DI22" s="119"/>
      <c r="DJ22" s="119"/>
      <c r="DK22" s="119"/>
      <c r="DL22" s="119"/>
      <c r="DM22" s="119"/>
      <c r="DN22" s="119"/>
      <c r="DO22" s="119"/>
      <c r="DP22" s="119"/>
      <c r="DQ22" s="119"/>
      <c r="DR22" s="119"/>
    </row>
    <row r="23" ht="30" customHeight="1">
      <c r="B23" s="335"/>
      <c r="C23" s="211" t="s">
        <v>204</v>
      </c>
      <c r="D23" s="46" t="s">
        <v>205</v>
      </c>
      <c r="E23" s="19"/>
      <c r="F23" s="46"/>
      <c r="G23" s="50"/>
      <c r="H23" s="50"/>
      <c r="I23" s="50"/>
      <c r="J23" s="50"/>
      <c r="K23" s="50"/>
      <c r="L23" s="50"/>
      <c r="M23" s="57"/>
      <c r="N23" s="46"/>
      <c r="O23" s="46"/>
      <c r="P23" s="50"/>
      <c r="Q23" s="50"/>
      <c r="R23" s="53"/>
      <c r="S23" s="86"/>
      <c r="T23" s="86"/>
      <c r="U23" s="70"/>
      <c r="V23" s="86"/>
      <c r="W23" s="86"/>
      <c r="X23" s="80"/>
      <c r="Y23" s="86"/>
      <c r="Z23" s="86"/>
      <c r="AA23" s="70"/>
      <c r="AB23" s="207"/>
      <c r="AC23" s="185"/>
      <c r="AD23" s="185"/>
      <c r="AE23" s="185"/>
      <c r="AF23" s="185"/>
      <c r="AG23" s="185"/>
      <c r="AH23" s="185"/>
      <c r="AI23" s="185"/>
      <c r="AJ23" s="185"/>
      <c r="AK23" s="86"/>
      <c r="AL23" s="86"/>
      <c r="AM23" s="50"/>
      <c r="AN23" s="50"/>
      <c r="AO23" s="50"/>
      <c r="AP23" s="238"/>
      <c r="AQ23" s="50"/>
      <c r="AR23" s="238"/>
      <c r="AS23" s="111"/>
      <c r="AT23" s="111"/>
      <c r="AU23" s="111"/>
      <c r="AV23" s="238"/>
      <c r="AW23" s="111"/>
      <c r="AX23" s="111"/>
      <c r="AY23" s="111"/>
      <c r="AZ23" s="111"/>
      <c r="BA23" s="111"/>
      <c r="BB23" s="111"/>
      <c r="BC23" s="111"/>
      <c r="BD23" s="111"/>
      <c r="BE23" s="111"/>
      <c r="BF23" s="375"/>
      <c r="BG23" s="119"/>
      <c r="BH23" s="240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0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  <c r="DF23" s="119"/>
      <c r="DG23" s="119"/>
      <c r="DH23" s="119"/>
      <c r="DI23" s="119"/>
      <c r="DJ23" s="119"/>
      <c r="DK23" s="119"/>
      <c r="DL23" s="119"/>
      <c r="DM23" s="119"/>
      <c r="DN23" s="119"/>
      <c r="DO23" s="119"/>
      <c r="DP23" s="119"/>
      <c r="DQ23" s="119"/>
      <c r="DR23" s="119"/>
    </row>
    <row r="24" ht="49.5" customHeight="1">
      <c r="B24" s="335"/>
      <c r="C24" s="204" t="s">
        <v>206</v>
      </c>
      <c r="D24" s="46" t="s">
        <v>207</v>
      </c>
      <c r="E24" s="19"/>
      <c r="F24" s="46"/>
      <c r="G24" s="50"/>
      <c r="H24" s="50"/>
      <c r="I24" s="50"/>
      <c r="J24" s="50"/>
      <c r="K24" s="50"/>
      <c r="L24" s="50"/>
      <c r="M24" s="57"/>
      <c r="N24" s="46"/>
      <c r="O24" s="46"/>
      <c r="P24" s="50"/>
      <c r="Q24" s="50"/>
      <c r="R24" s="50"/>
      <c r="S24" s="50"/>
      <c r="T24" s="50"/>
      <c r="U24" s="50"/>
      <c r="V24" s="50"/>
      <c r="W24" s="50"/>
      <c r="X24" s="57"/>
      <c r="Y24" s="50"/>
      <c r="Z24" s="50"/>
      <c r="AA24" s="70"/>
      <c r="AB24" s="207"/>
      <c r="AC24" s="207"/>
      <c r="AD24" s="207"/>
      <c r="AE24" s="207"/>
      <c r="AF24" s="207"/>
      <c r="AG24" s="207"/>
      <c r="AH24" s="207"/>
      <c r="AI24" s="207"/>
      <c r="AJ24" s="207"/>
      <c r="AK24" s="86"/>
      <c r="AL24" s="86"/>
      <c r="AM24" s="50"/>
      <c r="AN24" s="50"/>
      <c r="AO24" s="50"/>
      <c r="AP24" s="50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238"/>
      <c r="BP24" s="238"/>
      <c r="BQ24" s="238"/>
      <c r="BR24" s="240"/>
      <c r="BS24" s="119"/>
      <c r="BT24" s="119"/>
      <c r="BU24" s="119"/>
      <c r="BV24" s="119"/>
      <c r="BW24" s="119"/>
      <c r="BX24" s="10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  <c r="DF24" s="119"/>
      <c r="DG24" s="119"/>
      <c r="DH24" s="119"/>
      <c r="DI24" s="119"/>
      <c r="DJ24" s="119"/>
      <c r="DK24" s="119"/>
      <c r="DL24" s="119"/>
      <c r="DM24" s="119"/>
      <c r="DN24" s="119"/>
      <c r="DO24" s="119"/>
      <c r="DP24" s="119"/>
      <c r="DQ24" s="119"/>
      <c r="DR24" s="119"/>
    </row>
    <row r="25" ht="35.25" customHeight="1">
      <c r="A25" s="225"/>
      <c r="B25" s="335"/>
      <c r="C25" s="193" t="s">
        <v>208</v>
      </c>
      <c r="D25" s="200" t="s">
        <v>209</v>
      </c>
      <c r="E25" s="9"/>
      <c r="F25" s="50"/>
      <c r="G25" s="50"/>
      <c r="H25" s="50"/>
      <c r="I25" s="50"/>
      <c r="J25" s="50"/>
      <c r="K25" s="50"/>
      <c r="L25" s="50"/>
      <c r="M25" s="86"/>
      <c r="N25" s="86"/>
      <c r="O25" s="86"/>
      <c r="P25" s="80"/>
      <c r="Q25" s="86"/>
      <c r="R25" s="86"/>
      <c r="S25" s="86"/>
      <c r="T25" s="86"/>
      <c r="U25" s="70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50"/>
      <c r="AG25" s="50"/>
      <c r="AH25" s="50"/>
      <c r="AI25" s="50"/>
      <c r="AJ25" s="50"/>
      <c r="AK25" s="50"/>
      <c r="AL25" s="50"/>
      <c r="AM25" s="57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236"/>
      <c r="BF25" s="236"/>
      <c r="BG25" s="236"/>
      <c r="BH25" s="240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0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375" t="s">
        <v>210</v>
      </c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9"/>
      <c r="DG25" s="119"/>
      <c r="DH25" s="119"/>
      <c r="DI25" s="119"/>
      <c r="DJ25" s="119"/>
      <c r="DK25" s="119"/>
      <c r="DL25" s="119"/>
      <c r="DM25" s="119"/>
      <c r="DN25" s="119"/>
      <c r="DO25" s="119"/>
      <c r="DP25" s="119"/>
      <c r="DQ25" s="119"/>
      <c r="DR25" s="119"/>
      <c r="DS25" s="115"/>
    </row>
    <row r="26" ht="35.25" customHeight="1">
      <c r="B26" s="335"/>
      <c r="C26" s="194" t="s">
        <v>211</v>
      </c>
      <c r="D26" s="200" t="s">
        <v>184</v>
      </c>
      <c r="E26" s="9"/>
      <c r="F26" s="50"/>
      <c r="G26" s="50"/>
      <c r="H26" s="50"/>
      <c r="I26" s="50"/>
      <c r="J26" s="50"/>
      <c r="K26" s="50"/>
      <c r="L26" s="50"/>
      <c r="M26" s="86"/>
      <c r="N26" s="86"/>
      <c r="O26" s="86"/>
      <c r="P26" s="80"/>
      <c r="Q26" s="86"/>
      <c r="R26" s="86"/>
      <c r="S26" s="86"/>
      <c r="T26" s="86"/>
      <c r="U26" s="70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50"/>
      <c r="AG26" s="50"/>
      <c r="AH26" s="50"/>
      <c r="AI26" s="50"/>
      <c r="AJ26" s="50"/>
      <c r="AK26" s="50"/>
      <c r="AL26" s="50"/>
      <c r="AM26" s="57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89"/>
      <c r="BB26" s="89"/>
      <c r="BC26" s="89"/>
      <c r="BD26" s="8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0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9"/>
      <c r="DG26" s="119"/>
      <c r="DH26" s="119"/>
      <c r="DI26" s="119"/>
      <c r="DJ26" s="119"/>
      <c r="DK26" s="119"/>
      <c r="DL26" s="119"/>
      <c r="DM26" s="119"/>
      <c r="DN26" s="119"/>
      <c r="DO26" s="119"/>
      <c r="DP26" s="119"/>
      <c r="DQ26" s="119"/>
      <c r="DR26" s="119"/>
      <c r="DS26" s="115"/>
    </row>
    <row r="27" ht="35.25" customHeight="1">
      <c r="B27" s="335"/>
      <c r="C27" s="194" t="s">
        <v>212</v>
      </c>
      <c r="D27" s="200" t="s">
        <v>184</v>
      </c>
      <c r="E27" s="9"/>
      <c r="F27" s="50"/>
      <c r="G27" s="50"/>
      <c r="H27" s="50"/>
      <c r="I27" s="50"/>
      <c r="J27" s="50"/>
      <c r="K27" s="50"/>
      <c r="L27" s="50"/>
      <c r="M27" s="86"/>
      <c r="N27" s="86"/>
      <c r="O27" s="86"/>
      <c r="P27" s="80"/>
      <c r="Q27" s="86"/>
      <c r="R27" s="86"/>
      <c r="S27" s="86"/>
      <c r="T27" s="86"/>
      <c r="U27" s="70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50"/>
      <c r="AG27" s="50"/>
      <c r="AH27" s="50"/>
      <c r="AI27" s="50"/>
      <c r="AJ27" s="50"/>
      <c r="AK27" s="50"/>
      <c r="AL27" s="50"/>
      <c r="AM27" s="57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89"/>
      <c r="BB27" s="89"/>
      <c r="BC27" s="89"/>
      <c r="BD27" s="8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0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9"/>
      <c r="DG27" s="119"/>
      <c r="DH27" s="119"/>
      <c r="DI27" s="119"/>
      <c r="DJ27" s="119"/>
      <c r="DK27" s="119"/>
      <c r="DL27" s="119"/>
      <c r="DM27" s="119"/>
      <c r="DN27" s="119"/>
      <c r="DO27" s="119"/>
      <c r="DP27" s="119"/>
      <c r="DQ27" s="119"/>
      <c r="DR27" s="119"/>
      <c r="DS27" s="115"/>
    </row>
    <row r="28" ht="35.25" customHeight="1">
      <c r="B28" s="335"/>
      <c r="C28" s="194" t="s">
        <v>213</v>
      </c>
      <c r="D28" s="200" t="s">
        <v>184</v>
      </c>
      <c r="E28" s="9"/>
      <c r="F28" s="50"/>
      <c r="G28" s="50"/>
      <c r="H28" s="50"/>
      <c r="I28" s="50"/>
      <c r="J28" s="50"/>
      <c r="K28" s="50"/>
      <c r="L28" s="50"/>
      <c r="M28" s="86"/>
      <c r="N28" s="86"/>
      <c r="O28" s="86"/>
      <c r="P28" s="80"/>
      <c r="Q28" s="86"/>
      <c r="R28" s="86"/>
      <c r="S28" s="86"/>
      <c r="T28" s="86"/>
      <c r="U28" s="70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50"/>
      <c r="AG28" s="50"/>
      <c r="AH28" s="50"/>
      <c r="AI28" s="50"/>
      <c r="AJ28" s="50"/>
      <c r="AK28" s="50"/>
      <c r="AL28" s="50"/>
      <c r="AM28" s="57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89"/>
      <c r="BB28" s="89"/>
      <c r="BC28" s="89"/>
      <c r="BD28" s="8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0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5"/>
    </row>
    <row r="29" ht="35.25" customHeight="1">
      <c r="B29" s="335"/>
      <c r="C29" s="194" t="s">
        <v>214</v>
      </c>
      <c r="D29" s="200" t="s">
        <v>184</v>
      </c>
      <c r="E29" s="9"/>
      <c r="F29" s="50"/>
      <c r="G29" s="50"/>
      <c r="H29" s="50"/>
      <c r="I29" s="50"/>
      <c r="J29" s="50"/>
      <c r="K29" s="50"/>
      <c r="L29" s="50"/>
      <c r="M29" s="86"/>
      <c r="N29" s="86"/>
      <c r="O29" s="86"/>
      <c r="P29" s="80"/>
      <c r="Q29" s="86"/>
      <c r="R29" s="86"/>
      <c r="S29" s="86"/>
      <c r="T29" s="86"/>
      <c r="U29" s="70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50"/>
      <c r="AG29" s="50"/>
      <c r="AH29" s="50"/>
      <c r="AI29" s="50"/>
      <c r="AJ29" s="50"/>
      <c r="AK29" s="50"/>
      <c r="AL29" s="50"/>
      <c r="AM29" s="57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89"/>
      <c r="BB29" s="89"/>
      <c r="BC29" s="89"/>
      <c r="BD29" s="8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0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9"/>
      <c r="DN29" s="119"/>
      <c r="DO29" s="119"/>
      <c r="DP29" s="119"/>
      <c r="DQ29" s="119"/>
      <c r="DR29" s="119"/>
      <c r="DS29" s="115"/>
    </row>
    <row r="30" ht="33" customHeight="1">
      <c r="B30" s="335"/>
      <c r="C30" s="194" t="s">
        <v>215</v>
      </c>
      <c r="D30" s="200" t="s">
        <v>184</v>
      </c>
      <c r="E30" s="9"/>
      <c r="F30" s="50"/>
      <c r="G30" s="50"/>
      <c r="H30" s="50"/>
      <c r="I30" s="50"/>
      <c r="J30" s="50"/>
      <c r="K30" s="50"/>
      <c r="L30" s="50"/>
      <c r="M30" s="86"/>
      <c r="N30" s="86"/>
      <c r="O30" s="86"/>
      <c r="P30" s="80"/>
      <c r="Q30" s="86"/>
      <c r="R30" s="86"/>
      <c r="S30" s="86"/>
      <c r="T30" s="86"/>
      <c r="U30" s="70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50"/>
      <c r="AG30" s="50"/>
      <c r="AH30" s="50"/>
      <c r="AI30" s="50"/>
      <c r="AJ30" s="50"/>
      <c r="AK30" s="50"/>
      <c r="AL30" s="50"/>
      <c r="AM30" s="57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89"/>
      <c r="BB30" s="89"/>
      <c r="BC30" s="89"/>
      <c r="BD30" s="8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0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9"/>
      <c r="DN30" s="119"/>
      <c r="DO30" s="119"/>
      <c r="DP30" s="119"/>
      <c r="DQ30" s="119"/>
      <c r="DR30" s="119"/>
      <c r="DS30" s="115"/>
    </row>
    <row r="31" ht="66" customHeight="1">
      <c r="B31" s="335"/>
      <c r="C31" s="194" t="s">
        <v>216</v>
      </c>
      <c r="D31" s="200" t="s">
        <v>184</v>
      </c>
      <c r="E31" s="9"/>
      <c r="F31" s="50"/>
      <c r="G31" s="50"/>
      <c r="H31" s="50"/>
      <c r="I31" s="50"/>
      <c r="J31" s="50"/>
      <c r="K31" s="50"/>
      <c r="L31" s="50"/>
      <c r="M31" s="86"/>
      <c r="N31" s="86"/>
      <c r="O31" s="86"/>
      <c r="P31" s="80"/>
      <c r="Q31" s="86"/>
      <c r="R31" s="86"/>
      <c r="S31" s="86"/>
      <c r="T31" s="86"/>
      <c r="U31" s="70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50"/>
      <c r="AG31" s="50"/>
      <c r="AH31" s="50"/>
      <c r="AI31" s="50"/>
      <c r="AJ31" s="50"/>
      <c r="AK31" s="50"/>
      <c r="AL31" s="50"/>
      <c r="AM31" s="57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89"/>
      <c r="BB31" s="89"/>
      <c r="BC31" s="89"/>
      <c r="BD31" s="8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0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9"/>
      <c r="DG31" s="119"/>
      <c r="DH31" s="119"/>
      <c r="DI31" s="119"/>
      <c r="DJ31" s="119"/>
      <c r="DK31" s="119"/>
      <c r="DL31" s="119"/>
      <c r="DM31" s="119"/>
      <c r="DN31" s="119"/>
      <c r="DO31" s="119"/>
      <c r="DP31" s="119"/>
      <c r="DQ31" s="119"/>
      <c r="DR31" s="119"/>
      <c r="DS31" s="115"/>
    </row>
    <row r="32" ht="16.5" customHeight="1">
      <c r="B32" s="335"/>
      <c r="C32" s="194" t="s">
        <v>217</v>
      </c>
      <c r="D32" s="200" t="s">
        <v>184</v>
      </c>
      <c r="E32" s="9"/>
      <c r="F32" s="50"/>
      <c r="G32" s="50"/>
      <c r="H32" s="50"/>
      <c r="I32" s="50"/>
      <c r="J32" s="50"/>
      <c r="K32" s="50"/>
      <c r="L32" s="50"/>
      <c r="M32" s="86"/>
      <c r="N32" s="86"/>
      <c r="O32" s="86"/>
      <c r="P32" s="80"/>
      <c r="Q32" s="86"/>
      <c r="R32" s="86"/>
      <c r="S32" s="86"/>
      <c r="T32" s="86"/>
      <c r="U32" s="70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50"/>
      <c r="AG32" s="50"/>
      <c r="AH32" s="50"/>
      <c r="AI32" s="50"/>
      <c r="AJ32" s="50"/>
      <c r="AK32" s="50"/>
      <c r="AL32" s="50"/>
      <c r="AM32" s="57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89"/>
      <c r="BB32" s="89"/>
      <c r="BC32" s="89"/>
      <c r="BD32" s="8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0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9"/>
      <c r="DN32" s="119"/>
      <c r="DO32" s="119"/>
      <c r="DP32" s="119"/>
      <c r="DQ32" s="119"/>
      <c r="DR32" s="119"/>
      <c r="DS32" s="115"/>
    </row>
    <row r="33" ht="35.25" customHeight="1">
      <c r="B33" s="335"/>
      <c r="C33" s="212" t="s">
        <v>218</v>
      </c>
      <c r="D33" s="200" t="s">
        <v>219</v>
      </c>
      <c r="E33" s="9"/>
      <c r="F33" s="50"/>
      <c r="G33" s="50"/>
      <c r="H33" s="50"/>
      <c r="I33" s="50"/>
      <c r="J33" s="50"/>
      <c r="K33" s="50"/>
      <c r="L33" s="50"/>
      <c r="M33" s="86"/>
      <c r="N33" s="86"/>
      <c r="O33" s="86"/>
      <c r="P33" s="80"/>
      <c r="Q33" s="86"/>
      <c r="R33" s="86"/>
      <c r="S33" s="86"/>
      <c r="T33" s="86"/>
      <c r="U33" s="70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50"/>
      <c r="AG33" s="50"/>
      <c r="AH33" s="50"/>
      <c r="AI33" s="50"/>
      <c r="AJ33" s="50"/>
      <c r="AK33" s="50"/>
      <c r="AL33" s="50"/>
      <c r="AM33" s="57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119"/>
      <c r="BN33" s="119"/>
      <c r="BO33" s="119"/>
      <c r="BP33" s="119"/>
      <c r="BQ33" s="119"/>
      <c r="BR33" s="119"/>
      <c r="BS33" s="119"/>
      <c r="BT33" s="119"/>
      <c r="BU33" s="119"/>
      <c r="BV33" s="207"/>
      <c r="BW33" s="207"/>
      <c r="BX33" s="207"/>
      <c r="BY33" s="207"/>
      <c r="BZ33" s="198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5"/>
    </row>
    <row r="34" ht="35.25" customHeight="1">
      <c r="B34" s="335"/>
      <c r="C34" s="194" t="s">
        <v>220</v>
      </c>
      <c r="D34" s="200" t="s">
        <v>219</v>
      </c>
      <c r="E34" s="9"/>
      <c r="F34" s="50"/>
      <c r="G34" s="50"/>
      <c r="H34" s="50"/>
      <c r="I34" s="50"/>
      <c r="J34" s="50"/>
      <c r="K34" s="50"/>
      <c r="L34" s="50"/>
      <c r="M34" s="86"/>
      <c r="N34" s="86"/>
      <c r="O34" s="86"/>
      <c r="P34" s="80"/>
      <c r="Q34" s="86"/>
      <c r="R34" s="86"/>
      <c r="S34" s="86"/>
      <c r="T34" s="86"/>
      <c r="U34" s="70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50"/>
      <c r="AG34" s="50"/>
      <c r="AH34" s="50"/>
      <c r="AI34" s="50"/>
      <c r="AJ34" s="50"/>
      <c r="AK34" s="50"/>
      <c r="AL34" s="50"/>
      <c r="AM34" s="57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119"/>
      <c r="BO34" s="119"/>
      <c r="BP34" s="119"/>
      <c r="BQ34" s="119"/>
      <c r="BR34" s="119"/>
      <c r="BS34" s="119"/>
      <c r="BT34" s="119"/>
      <c r="BU34" s="119"/>
      <c r="BV34" s="207"/>
      <c r="BW34" s="207"/>
      <c r="BX34" s="207"/>
      <c r="BY34" s="207"/>
      <c r="BZ34" s="198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9"/>
      <c r="DG34" s="119"/>
      <c r="DH34" s="119"/>
      <c r="DI34" s="119"/>
      <c r="DJ34" s="119"/>
      <c r="DK34" s="119"/>
      <c r="DL34" s="119"/>
      <c r="DM34" s="119"/>
      <c r="DN34" s="119"/>
      <c r="DO34" s="119"/>
      <c r="DP34" s="119"/>
      <c r="DQ34" s="119"/>
      <c r="DR34" s="119"/>
      <c r="DS34" s="115"/>
    </row>
    <row r="35" ht="35.25" customHeight="1">
      <c r="B35" s="335"/>
      <c r="C35" s="194" t="s">
        <v>221</v>
      </c>
      <c r="D35" s="200" t="s">
        <v>219</v>
      </c>
      <c r="E35" s="9"/>
      <c r="F35" s="50"/>
      <c r="G35" s="50"/>
      <c r="H35" s="50"/>
      <c r="I35" s="50"/>
      <c r="J35" s="50"/>
      <c r="K35" s="50"/>
      <c r="L35" s="50"/>
      <c r="M35" s="86"/>
      <c r="N35" s="86"/>
      <c r="O35" s="86"/>
      <c r="P35" s="80"/>
      <c r="Q35" s="86"/>
      <c r="R35" s="86"/>
      <c r="S35" s="86"/>
      <c r="T35" s="86"/>
      <c r="U35" s="70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50"/>
      <c r="AG35" s="50"/>
      <c r="AH35" s="50"/>
      <c r="AI35" s="50"/>
      <c r="AJ35" s="50"/>
      <c r="AK35" s="50"/>
      <c r="AL35" s="50"/>
      <c r="AM35" s="57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207"/>
      <c r="AZ35" s="207"/>
      <c r="BA35" s="207"/>
      <c r="BB35" s="207"/>
      <c r="BC35" s="119"/>
      <c r="BD35" s="119"/>
      <c r="BE35" s="119"/>
      <c r="BF35" s="119"/>
      <c r="BG35" s="119"/>
      <c r="BH35" s="119"/>
      <c r="BI35" s="119"/>
      <c r="BJ35" s="237"/>
      <c r="BK35" s="119"/>
      <c r="BL35" s="237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0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9"/>
      <c r="DG35" s="119"/>
      <c r="DH35" s="119"/>
      <c r="DI35" s="119"/>
      <c r="DJ35" s="119"/>
      <c r="DK35" s="119"/>
      <c r="DL35" s="119"/>
      <c r="DM35" s="119"/>
      <c r="DN35" s="119"/>
      <c r="DO35" s="119"/>
      <c r="DP35" s="119"/>
      <c r="DQ35" s="119"/>
      <c r="DR35" s="119"/>
      <c r="DS35" s="115"/>
    </row>
    <row r="36" ht="49.5" customHeight="1">
      <c r="B36" s="365" t="s">
        <v>222</v>
      </c>
      <c r="C36" s="211" t="s">
        <v>223</v>
      </c>
      <c r="D36" s="331" t="s">
        <v>224</v>
      </c>
      <c r="E36" s="19"/>
      <c r="F36" s="46"/>
      <c r="G36" s="50"/>
      <c r="H36" s="50"/>
      <c r="I36" s="50"/>
      <c r="J36" s="50"/>
      <c r="K36" s="50"/>
      <c r="L36" s="50"/>
      <c r="M36" s="57"/>
      <c r="N36" s="50"/>
      <c r="O36" s="46"/>
      <c r="P36" s="46"/>
      <c r="Q36" s="46"/>
      <c r="R36" s="50"/>
      <c r="S36" s="50"/>
      <c r="T36" s="50"/>
      <c r="U36" s="50"/>
      <c r="V36" s="50"/>
      <c r="W36" s="50"/>
      <c r="X36" s="50"/>
      <c r="Y36" s="185"/>
      <c r="Z36" s="86"/>
      <c r="AA36" s="50"/>
      <c r="AB36" s="50"/>
      <c r="AC36" s="50"/>
      <c r="AD36" s="50"/>
      <c r="AE36" s="50"/>
      <c r="AF36" s="207"/>
      <c r="AG36" s="207"/>
      <c r="AH36" s="207"/>
      <c r="AI36" s="207"/>
      <c r="AJ36" s="50"/>
      <c r="AK36" s="50"/>
      <c r="AL36" s="50"/>
      <c r="AM36" s="50"/>
      <c r="AN36" s="50"/>
      <c r="AO36" s="50"/>
      <c r="AP36" s="50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  <c r="BE36" s="119"/>
      <c r="BF36" s="207"/>
      <c r="BG36" s="237"/>
      <c r="BH36" s="237"/>
      <c r="BI36" s="237"/>
      <c r="BJ36" s="237"/>
      <c r="BK36" s="237"/>
      <c r="BL36" s="89"/>
      <c r="BM36" s="89"/>
      <c r="BN36" s="89"/>
      <c r="BO36" s="119"/>
      <c r="BP36" s="119"/>
      <c r="BQ36" s="207"/>
      <c r="BR36" s="237"/>
      <c r="BS36" s="119"/>
      <c r="BT36" s="119"/>
      <c r="BU36" s="119"/>
      <c r="BV36" s="119"/>
      <c r="BW36" s="207"/>
      <c r="BX36" s="237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  <c r="DM36" s="119"/>
      <c r="DN36" s="119"/>
      <c r="DO36" s="119"/>
      <c r="DP36" s="119"/>
      <c r="DQ36" s="119"/>
      <c r="DR36" s="119"/>
    </row>
    <row r="37" ht="27" customHeight="1">
      <c r="B37" s="366"/>
      <c r="C37" s="331" t="s">
        <v>225</v>
      </c>
      <c r="D37" s="331" t="s">
        <v>224</v>
      </c>
      <c r="E37" s="19"/>
      <c r="F37" s="46"/>
      <c r="G37" s="50"/>
      <c r="H37" s="50"/>
      <c r="I37" s="50"/>
      <c r="J37" s="50"/>
      <c r="K37" s="50"/>
      <c r="L37" s="50"/>
      <c r="M37" s="57"/>
      <c r="N37" s="50"/>
      <c r="O37" s="46"/>
      <c r="P37" s="46"/>
      <c r="Q37" s="46"/>
      <c r="R37" s="50"/>
      <c r="S37" s="50"/>
      <c r="T37" s="50"/>
      <c r="U37" s="50"/>
      <c r="V37" s="50"/>
      <c r="W37" s="50"/>
      <c r="X37" s="50"/>
      <c r="Y37" s="185"/>
      <c r="Z37" s="86"/>
      <c r="AA37" s="50"/>
      <c r="AB37" s="50"/>
      <c r="AC37" s="50"/>
      <c r="AD37" s="50"/>
      <c r="AE37" s="50"/>
      <c r="AF37" s="46"/>
      <c r="AG37" s="46"/>
      <c r="AH37" s="46"/>
      <c r="AI37" s="50"/>
      <c r="AJ37" s="207"/>
      <c r="AK37" s="207"/>
      <c r="AL37" s="50"/>
      <c r="AM37" s="50"/>
      <c r="AN37" s="50"/>
      <c r="AO37" s="50"/>
      <c r="AP37" s="50"/>
      <c r="AQ37" s="50"/>
      <c r="AR37" s="50"/>
      <c r="AS37" s="50"/>
      <c r="AT37" s="50"/>
      <c r="AU37" s="207"/>
      <c r="AV37" s="207"/>
      <c r="AW37" s="50"/>
      <c r="AX37" s="50"/>
      <c r="AY37" s="50"/>
      <c r="AZ37" s="50"/>
      <c r="BA37" s="50"/>
      <c r="BB37" s="50"/>
      <c r="BC37" s="50"/>
      <c r="BD37" s="89"/>
      <c r="BE37" s="89"/>
      <c r="BF37" s="89"/>
      <c r="BG37" s="89"/>
      <c r="BH37" s="119"/>
      <c r="BI37" s="89"/>
      <c r="BJ37" s="119"/>
      <c r="BK37" s="119"/>
      <c r="BL37" s="119"/>
      <c r="BM37" s="119"/>
      <c r="BN37" s="119"/>
      <c r="BO37" s="119"/>
      <c r="BP37" s="119"/>
      <c r="BQ37" s="119"/>
      <c r="BR37" s="119"/>
      <c r="BS37" s="207"/>
      <c r="BT37" s="207"/>
      <c r="BU37" s="119"/>
      <c r="BV37" s="119"/>
      <c r="BW37" s="119"/>
      <c r="BX37" s="119"/>
      <c r="BY37" s="207"/>
      <c r="BZ37" s="198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  <c r="DF37" s="119"/>
      <c r="DG37" s="119"/>
      <c r="DH37" s="119"/>
      <c r="DI37" s="119"/>
      <c r="DJ37" s="119"/>
      <c r="DK37" s="119"/>
      <c r="DL37" s="119"/>
      <c r="DM37" s="119"/>
      <c r="DN37" s="119"/>
      <c r="DO37" s="119"/>
      <c r="DP37" s="119"/>
      <c r="DQ37" s="119"/>
      <c r="DR37" s="119"/>
    </row>
    <row r="38" ht="27" customHeight="1">
      <c r="B38" s="366"/>
      <c r="C38" s="211" t="s">
        <v>226</v>
      </c>
      <c r="D38" s="331" t="s">
        <v>224</v>
      </c>
      <c r="E38" s="19"/>
      <c r="F38" s="46"/>
      <c r="G38" s="50"/>
      <c r="H38" s="50"/>
      <c r="I38" s="50"/>
      <c r="J38" s="50"/>
      <c r="K38" s="50"/>
      <c r="L38" s="50"/>
      <c r="M38" s="57"/>
      <c r="N38" s="50"/>
      <c r="O38" s="46"/>
      <c r="P38" s="46"/>
      <c r="Q38" s="46"/>
      <c r="R38" s="50"/>
      <c r="S38" s="50"/>
      <c r="T38" s="50"/>
      <c r="U38" s="50"/>
      <c r="V38" s="50"/>
      <c r="W38" s="50"/>
      <c r="X38" s="50"/>
      <c r="Y38" s="185"/>
      <c r="Z38" s="86"/>
      <c r="AA38" s="50"/>
      <c r="AB38" s="50"/>
      <c r="AC38" s="50"/>
      <c r="AD38" s="50"/>
      <c r="AE38" s="50"/>
      <c r="AF38" s="46"/>
      <c r="AG38" s="46"/>
      <c r="AH38" s="46"/>
      <c r="AI38" s="50"/>
      <c r="AJ38" s="50"/>
      <c r="AK38" s="50"/>
      <c r="AL38" s="207"/>
      <c r="AM38" s="207"/>
      <c r="AN38" s="50"/>
      <c r="AO38" s="50"/>
      <c r="AP38" s="50"/>
      <c r="AQ38" s="50"/>
      <c r="AR38" s="50"/>
      <c r="AS38" s="50"/>
      <c r="AT38" s="50"/>
      <c r="AU38" s="207"/>
      <c r="AV38" s="50"/>
      <c r="AW38" s="50"/>
      <c r="AX38" s="50"/>
      <c r="AY38" s="50"/>
      <c r="AZ38" s="50"/>
      <c r="BA38" s="50"/>
      <c r="BB38" s="50"/>
      <c r="BC38" s="50"/>
      <c r="BD38" s="89"/>
      <c r="BE38" s="89"/>
      <c r="BF38" s="89"/>
      <c r="BG38" s="8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207"/>
      <c r="CB38" s="198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  <c r="DF38" s="119"/>
      <c r="DG38" s="119"/>
      <c r="DH38" s="119"/>
      <c r="DI38" s="119"/>
      <c r="DJ38" s="119"/>
      <c r="DK38" s="119"/>
      <c r="DL38" s="119"/>
      <c r="DM38" s="119"/>
      <c r="DN38" s="119"/>
      <c r="DO38" s="119"/>
      <c r="DP38" s="119"/>
      <c r="DQ38" s="119"/>
      <c r="DR38" s="119"/>
    </row>
    <row r="39" ht="66" customHeight="1">
      <c r="B39" s="366"/>
      <c r="C39" s="331" t="s">
        <v>227</v>
      </c>
      <c r="D39" s="331" t="s">
        <v>224</v>
      </c>
      <c r="E39" s="19"/>
      <c r="F39" s="46"/>
      <c r="G39" s="50"/>
      <c r="H39" s="50"/>
      <c r="I39" s="50"/>
      <c r="J39" s="50"/>
      <c r="K39" s="50"/>
      <c r="L39" s="50"/>
      <c r="M39" s="57"/>
      <c r="N39" s="50"/>
      <c r="O39" s="46"/>
      <c r="P39" s="46"/>
      <c r="Q39" s="46"/>
      <c r="R39" s="50"/>
      <c r="S39" s="46"/>
      <c r="T39" s="46"/>
      <c r="U39" s="46"/>
      <c r="V39" s="46"/>
      <c r="W39" s="46"/>
      <c r="X39" s="46"/>
      <c r="Y39" s="46"/>
      <c r="Z39" s="46"/>
      <c r="AA39" s="100"/>
      <c r="AB39" s="100"/>
      <c r="AC39" s="100"/>
      <c r="AD39" s="100"/>
      <c r="AE39" s="100"/>
      <c r="AF39" s="100"/>
      <c r="AG39" s="100"/>
      <c r="AH39" s="100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50"/>
      <c r="AX39" s="50"/>
      <c r="AY39" s="50"/>
      <c r="AZ39" s="50"/>
      <c r="BA39" s="50"/>
      <c r="BB39" s="50"/>
      <c r="BC39" s="50"/>
      <c r="BD39" s="89"/>
      <c r="BE39" s="89"/>
      <c r="BF39" s="89"/>
      <c r="BG39" s="89"/>
      <c r="BH39" s="119"/>
      <c r="BI39" s="119"/>
      <c r="BJ39" s="207"/>
      <c r="BK39" s="207"/>
      <c r="BL39" s="207"/>
      <c r="BM39" s="207"/>
      <c r="BN39" s="207"/>
      <c r="BO39" s="207"/>
      <c r="BP39" s="207"/>
      <c r="BQ39" s="207"/>
      <c r="BR39" s="207"/>
      <c r="BS39" s="207"/>
      <c r="BT39" s="207"/>
      <c r="BU39" s="207"/>
      <c r="BV39" s="207"/>
      <c r="BW39" s="207"/>
      <c r="BX39" s="207"/>
      <c r="BY39" s="207"/>
      <c r="BZ39" s="207"/>
      <c r="CA39" s="207"/>
      <c r="CB39" s="207"/>
      <c r="CC39" s="207"/>
      <c r="CD39" s="207"/>
      <c r="CE39" s="198"/>
      <c r="CF39" s="50"/>
      <c r="CG39" s="89"/>
      <c r="CH39" s="89"/>
      <c r="CI39" s="89"/>
      <c r="CJ39" s="89"/>
      <c r="CK39" s="10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  <c r="DF39" s="119"/>
      <c r="DG39" s="119"/>
      <c r="DH39" s="119"/>
      <c r="DI39" s="119"/>
      <c r="DJ39" s="119"/>
      <c r="DK39" s="119"/>
      <c r="DL39" s="119"/>
      <c r="DM39" s="119"/>
      <c r="DN39" s="119"/>
      <c r="DO39" s="119"/>
      <c r="DP39" s="119"/>
      <c r="DQ39" s="119"/>
      <c r="DR39" s="119"/>
    </row>
    <row r="40" ht="30.599999999999998" customHeight="1">
      <c r="B40" s="366"/>
      <c r="C40" s="331" t="s">
        <v>228</v>
      </c>
      <c r="D40" s="204" t="s">
        <v>229</v>
      </c>
      <c r="E40" s="19"/>
      <c r="F40" s="46"/>
      <c r="G40" s="46"/>
      <c r="H40" s="46"/>
      <c r="I40" s="46"/>
      <c r="J40" s="46"/>
      <c r="K40" s="46"/>
      <c r="L40" s="46"/>
      <c r="M40" s="111"/>
      <c r="N40" s="46"/>
      <c r="O40" s="46"/>
      <c r="P40" s="46"/>
      <c r="Q40" s="46"/>
      <c r="R40" s="50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207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50"/>
      <c r="AY40" s="50"/>
      <c r="AZ40" s="50"/>
      <c r="BA40" s="50"/>
      <c r="BB40" s="50"/>
      <c r="BC40" s="50"/>
      <c r="BD40" s="89"/>
      <c r="BE40" s="89"/>
      <c r="BF40" s="89"/>
      <c r="BG40" s="89"/>
      <c r="BH40" s="119"/>
      <c r="BI40" s="119"/>
      <c r="BJ40" s="50"/>
      <c r="BK40" s="207"/>
      <c r="BL40" s="207"/>
      <c r="BM40" s="207"/>
      <c r="BN40" s="207"/>
      <c r="BO40" s="207"/>
      <c r="BP40" s="207"/>
      <c r="BQ40" s="207"/>
      <c r="BR40" s="207"/>
      <c r="BS40" s="207"/>
      <c r="BT40" s="207"/>
      <c r="BU40" s="207"/>
      <c r="BV40" s="207"/>
      <c r="BW40" s="207"/>
      <c r="BX40" s="207"/>
      <c r="BY40" s="207"/>
      <c r="BZ40" s="207"/>
      <c r="CA40" s="198"/>
      <c r="CB40" s="50"/>
      <c r="CC40" s="50"/>
      <c r="CD40" s="50"/>
      <c r="CE40" s="50"/>
      <c r="CF40" s="50"/>
      <c r="CG40" s="89"/>
      <c r="CH40" s="89"/>
      <c r="CI40" s="89"/>
      <c r="CJ40" s="89"/>
      <c r="CK40" s="10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  <c r="DF40" s="119"/>
      <c r="DG40" s="119"/>
      <c r="DH40" s="119"/>
      <c r="DI40" s="119"/>
      <c r="DJ40" s="119"/>
      <c r="DK40" s="119"/>
      <c r="DL40" s="119"/>
      <c r="DM40" s="119"/>
      <c r="DN40" s="119"/>
      <c r="DO40" s="119"/>
      <c r="DP40" s="119"/>
      <c r="DQ40" s="119"/>
      <c r="DR40" s="119"/>
    </row>
    <row r="41" ht="33" customHeight="1">
      <c r="B41" s="366"/>
      <c r="C41" s="331" t="s">
        <v>230</v>
      </c>
      <c r="D41" s="331" t="s">
        <v>224</v>
      </c>
      <c r="E41" s="19"/>
      <c r="F41" s="46"/>
      <c r="G41" s="50"/>
      <c r="H41" s="50"/>
      <c r="I41" s="50"/>
      <c r="J41" s="50"/>
      <c r="K41" s="50"/>
      <c r="L41" s="50"/>
      <c r="M41" s="57"/>
      <c r="N41" s="50"/>
      <c r="O41" s="46"/>
      <c r="P41" s="46"/>
      <c r="Q41" s="46"/>
      <c r="R41" s="50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0"/>
      <c r="AK41" s="50"/>
      <c r="AL41" s="50"/>
      <c r="AM41" s="50"/>
      <c r="AN41" s="9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89"/>
      <c r="BE41" s="89"/>
      <c r="BF41" s="89"/>
      <c r="BG41" s="89"/>
      <c r="BH41" s="119"/>
      <c r="BI41" s="119"/>
      <c r="BJ41" s="57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207"/>
      <c r="CC41" s="207"/>
      <c r="CD41" s="207"/>
      <c r="CE41" s="207"/>
      <c r="CF41" s="207"/>
      <c r="CG41" s="207"/>
      <c r="CH41" s="207"/>
      <c r="CI41" s="198"/>
      <c r="CJ41" s="89"/>
      <c r="CK41" s="89"/>
      <c r="CL41" s="10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  <c r="DF41" s="119"/>
      <c r="DG41" s="119"/>
      <c r="DH41" s="119"/>
      <c r="DI41" s="119"/>
      <c r="DJ41" s="119"/>
      <c r="DK41" s="119"/>
      <c r="DL41" s="119"/>
      <c r="DM41" s="119"/>
      <c r="DN41" s="119"/>
      <c r="DO41" s="119"/>
      <c r="DP41" s="119"/>
      <c r="DQ41" s="119"/>
      <c r="DR41" s="119"/>
    </row>
    <row r="42" ht="30.599999999999998" customHeight="1">
      <c r="B42" s="366"/>
      <c r="C42" s="331" t="s">
        <v>231</v>
      </c>
      <c r="D42" s="331" t="s">
        <v>232</v>
      </c>
      <c r="E42" s="19"/>
      <c r="F42" s="46"/>
      <c r="G42" s="50"/>
      <c r="H42" s="50"/>
      <c r="I42" s="50"/>
      <c r="J42" s="50"/>
      <c r="K42" s="50"/>
      <c r="L42" s="50"/>
      <c r="M42" s="57"/>
      <c r="N42" s="50"/>
      <c r="O42" s="46"/>
      <c r="P42" s="46"/>
      <c r="Q42" s="46"/>
      <c r="R42" s="50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0"/>
      <c r="AK42" s="50"/>
      <c r="AL42" s="50"/>
      <c r="AM42" s="50"/>
      <c r="AN42" s="9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89"/>
      <c r="BE42" s="89"/>
      <c r="BF42" s="89"/>
      <c r="BG42" s="89"/>
      <c r="BH42" s="119"/>
      <c r="BI42" s="119"/>
      <c r="BJ42" s="57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89"/>
      <c r="CH42" s="89"/>
      <c r="CI42" s="89"/>
      <c r="CJ42" s="207"/>
      <c r="CK42" s="207"/>
      <c r="CL42" s="207"/>
      <c r="CM42" s="198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  <c r="DF42" s="119"/>
      <c r="DG42" s="119"/>
      <c r="DH42" s="119"/>
      <c r="DI42" s="119"/>
      <c r="DJ42" s="119"/>
      <c r="DK42" s="119"/>
      <c r="DL42" s="119"/>
      <c r="DM42" s="119"/>
      <c r="DN42" s="119"/>
      <c r="DO42" s="119"/>
      <c r="DP42" s="119"/>
      <c r="DQ42" s="119"/>
      <c r="DR42" s="119"/>
    </row>
    <row r="43" ht="82.5" customHeight="1">
      <c r="B43" s="366"/>
      <c r="C43" s="331" t="s">
        <v>233</v>
      </c>
      <c r="D43" s="331" t="s">
        <v>224</v>
      </c>
      <c r="E43" s="19"/>
      <c r="F43" s="46"/>
      <c r="G43" s="50"/>
      <c r="H43" s="50"/>
      <c r="I43" s="50"/>
      <c r="J43" s="50"/>
      <c r="K43" s="50"/>
      <c r="L43" s="50"/>
      <c r="M43" s="57"/>
      <c r="N43" s="50"/>
      <c r="O43" s="46"/>
      <c r="P43" s="46"/>
      <c r="Q43" s="46"/>
      <c r="R43" s="50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0"/>
      <c r="AK43" s="50"/>
      <c r="AL43" s="50"/>
      <c r="AM43" s="50"/>
      <c r="AN43" s="9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89"/>
      <c r="BE43" s="89"/>
      <c r="BF43" s="89"/>
      <c r="BG43" s="89"/>
      <c r="BH43" s="119"/>
      <c r="BI43" s="119"/>
      <c r="BJ43" s="57"/>
      <c r="BK43" s="50"/>
      <c r="BL43" s="207"/>
      <c r="BM43" s="207"/>
      <c r="BN43" s="207"/>
      <c r="BO43" s="207"/>
      <c r="BP43" s="207"/>
      <c r="BQ43" s="207"/>
      <c r="BR43" s="207"/>
      <c r="BS43" s="207"/>
      <c r="BT43" s="207"/>
      <c r="BU43" s="207"/>
      <c r="BV43" s="207"/>
      <c r="BW43" s="207"/>
      <c r="BX43" s="50"/>
      <c r="BY43" s="50"/>
      <c r="BZ43" s="50"/>
      <c r="CA43" s="50"/>
      <c r="CB43" s="50"/>
      <c r="CC43" s="50"/>
      <c r="CD43" s="207"/>
      <c r="CE43" s="207"/>
      <c r="CF43" s="207"/>
      <c r="CG43" s="207"/>
      <c r="CH43" s="207"/>
      <c r="CI43" s="207"/>
      <c r="CJ43" s="207"/>
      <c r="CK43" s="207"/>
      <c r="CL43" s="207"/>
      <c r="CM43" s="207"/>
      <c r="CN43" s="207"/>
      <c r="CO43" s="207"/>
      <c r="CP43" s="207"/>
      <c r="CQ43" s="198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19"/>
      <c r="DI43" s="119"/>
      <c r="DJ43" s="119"/>
      <c r="DK43" s="119"/>
      <c r="DL43" s="119"/>
      <c r="DM43" s="119"/>
      <c r="DN43" s="119"/>
      <c r="DO43" s="119"/>
      <c r="DP43" s="119"/>
      <c r="DQ43" s="119"/>
      <c r="DR43" s="119"/>
    </row>
    <row r="44" ht="41.25" customHeight="1">
      <c r="B44" s="366"/>
      <c r="C44" s="331" t="s">
        <v>234</v>
      </c>
      <c r="D44" s="331" t="s">
        <v>235</v>
      </c>
      <c r="E44" s="21"/>
      <c r="F44" s="22"/>
      <c r="G44" s="50"/>
      <c r="H44" s="50"/>
      <c r="I44" s="50"/>
      <c r="J44" s="50"/>
      <c r="K44" s="50"/>
      <c r="L44" s="50"/>
      <c r="M44" s="57"/>
      <c r="N44" s="50"/>
      <c r="O44" s="46"/>
      <c r="P44" s="46"/>
      <c r="Q44" s="46"/>
      <c r="R44" s="5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0"/>
      <c r="AK44" s="50"/>
      <c r="AL44" s="50"/>
      <c r="AM44" s="50"/>
      <c r="AN44" s="9"/>
      <c r="AO44" s="50"/>
      <c r="AP44" s="50"/>
      <c r="AQ44" s="50"/>
      <c r="AR44" s="50"/>
      <c r="AS44" s="50"/>
      <c r="AT44" s="50"/>
      <c r="AU44" s="50"/>
      <c r="AV44" s="50"/>
      <c r="AW44" s="50"/>
      <c r="AX44" s="39"/>
      <c r="AY44" s="39"/>
      <c r="AZ44" s="39"/>
      <c r="BA44" s="39"/>
      <c r="BB44" s="39"/>
      <c r="BC44" s="50"/>
      <c r="BD44" s="89"/>
      <c r="BE44" s="89"/>
      <c r="BF44" s="89"/>
      <c r="BG44" s="89"/>
      <c r="BH44" s="119"/>
      <c r="BI44" s="119"/>
      <c r="BJ44" s="57"/>
      <c r="BK44" s="50"/>
      <c r="BL44" s="50"/>
      <c r="BM44" s="57"/>
      <c r="BN44" s="50"/>
      <c r="BO44" s="50"/>
      <c r="BP44" s="57"/>
      <c r="BQ44" s="46"/>
      <c r="BR44" s="46"/>
      <c r="BS44" s="183"/>
      <c r="BT44" s="50"/>
      <c r="BU44" s="50"/>
      <c r="BV44" s="119"/>
      <c r="BW44" s="119"/>
      <c r="BX44" s="119"/>
      <c r="BY44" s="50"/>
      <c r="BZ44" s="50"/>
      <c r="CA44" s="89"/>
      <c r="CB44" s="89"/>
      <c r="CC44" s="8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203"/>
      <c r="CS44" s="203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  <c r="DF44" s="119"/>
      <c r="DG44" s="119"/>
      <c r="DH44" s="119"/>
      <c r="DI44" s="119"/>
      <c r="DJ44" s="119"/>
      <c r="DK44" s="119"/>
      <c r="DL44" s="119"/>
      <c r="DM44" s="119"/>
      <c r="DN44" s="119"/>
      <c r="DO44" s="119"/>
      <c r="DP44" s="119"/>
      <c r="DQ44" s="119"/>
      <c r="DR44" s="119"/>
    </row>
    <row r="45" ht="30" customHeight="1">
      <c r="B45" s="369"/>
      <c r="C45" s="183" t="s">
        <v>236</v>
      </c>
      <c r="D45" s="331" t="s">
        <v>235</v>
      </c>
      <c r="E45" s="19"/>
      <c r="F45" s="46"/>
      <c r="G45" s="9"/>
      <c r="H45" s="50"/>
      <c r="I45" s="50"/>
      <c r="J45" s="50"/>
      <c r="K45" s="50"/>
      <c r="L45" s="50"/>
      <c r="M45" s="57"/>
      <c r="N45" s="50"/>
      <c r="O45" s="46"/>
      <c r="P45" s="46"/>
      <c r="Q45" s="46"/>
      <c r="R45" s="5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0"/>
      <c r="AK45" s="50"/>
      <c r="AL45" s="50"/>
      <c r="AM45" s="50"/>
      <c r="AN45" s="9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89"/>
      <c r="BF45" s="89"/>
      <c r="BG45" s="89"/>
      <c r="BH45" s="119"/>
      <c r="BI45" s="119"/>
      <c r="BJ45" s="57"/>
      <c r="BK45" s="50"/>
      <c r="BL45" s="50"/>
      <c r="BM45" s="57"/>
      <c r="BN45" s="50"/>
      <c r="BO45" s="50"/>
      <c r="BP45" s="50"/>
      <c r="BQ45" s="50"/>
      <c r="BR45" s="50"/>
      <c r="BS45" s="46"/>
      <c r="BT45" s="46"/>
      <c r="BU45" s="46"/>
      <c r="BV45" s="46"/>
      <c r="BW45" s="46"/>
      <c r="BX45" s="119"/>
      <c r="BY45" s="50"/>
      <c r="BZ45" s="50"/>
      <c r="CA45" s="89"/>
      <c r="CB45" s="89"/>
      <c r="CC45" s="89"/>
      <c r="CD45" s="119"/>
      <c r="CE45" s="119"/>
      <c r="CF45" s="119"/>
      <c r="CG45" s="119"/>
      <c r="CH45" s="5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203"/>
      <c r="CU45" s="203"/>
      <c r="CV45" s="203"/>
      <c r="CW45" s="203"/>
      <c r="CX45" s="203"/>
      <c r="CY45" s="203"/>
      <c r="CZ45" s="203"/>
      <c r="DA45" s="203"/>
      <c r="DB45" s="203"/>
      <c r="DC45" s="203"/>
      <c r="DD45" s="203"/>
      <c r="DE45" s="203"/>
      <c r="DF45" s="119"/>
      <c r="DG45" s="119"/>
      <c r="DH45" s="119"/>
      <c r="DI45" s="119"/>
      <c r="DJ45" s="119"/>
      <c r="DK45" s="119"/>
      <c r="DL45" s="119"/>
      <c r="DM45" s="119"/>
      <c r="DN45" s="119"/>
      <c r="DO45" s="119"/>
      <c r="DP45" s="119"/>
      <c r="DQ45" s="119"/>
      <c r="DR45" s="119"/>
    </row>
    <row r="46" ht="30" customHeight="1">
      <c r="B46" s="370" t="s">
        <v>237</v>
      </c>
      <c r="C46" s="46" t="s">
        <v>238</v>
      </c>
      <c r="D46" s="46" t="s">
        <v>239</v>
      </c>
      <c r="E46" s="19"/>
      <c r="F46" s="46"/>
      <c r="G46" s="50"/>
      <c r="H46" s="50"/>
      <c r="I46" s="50"/>
      <c r="J46" s="50"/>
      <c r="K46" s="50"/>
      <c r="L46" s="50"/>
      <c r="M46" s="50"/>
      <c r="N46" s="39"/>
      <c r="O46" s="39"/>
      <c r="P46" s="207"/>
      <c r="Q46" s="207"/>
      <c r="R46" s="207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0"/>
      <c r="AJ46" s="50"/>
      <c r="AK46" s="50"/>
      <c r="AL46" s="50"/>
      <c r="AM46" s="57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89"/>
      <c r="BB46" s="89"/>
      <c r="BC46" s="89"/>
      <c r="BD46" s="8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0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  <c r="DF46" s="119"/>
      <c r="DG46" s="119"/>
      <c r="DH46" s="119"/>
      <c r="DI46" s="119"/>
      <c r="DJ46" s="119"/>
      <c r="DK46" s="119"/>
      <c r="DL46" s="119"/>
      <c r="DM46" s="119"/>
      <c r="DN46" s="119"/>
      <c r="DO46" s="119"/>
      <c r="DP46" s="119"/>
      <c r="DQ46" s="119"/>
      <c r="DR46" s="119"/>
    </row>
    <row r="47" ht="30" customHeight="1">
      <c r="B47" s="367"/>
      <c r="C47" s="331" t="s">
        <v>240</v>
      </c>
      <c r="D47" s="46" t="s">
        <v>239</v>
      </c>
      <c r="E47" s="23"/>
      <c r="F47" s="185"/>
      <c r="G47" s="86"/>
      <c r="H47" s="86"/>
      <c r="I47" s="86"/>
      <c r="J47" s="86"/>
      <c r="K47" s="86"/>
      <c r="L47" s="86"/>
      <c r="M47" s="86"/>
      <c r="N47" s="86"/>
      <c r="O47" s="86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0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119"/>
      <c r="BV47" s="119"/>
      <c r="BW47" s="119"/>
      <c r="BX47" s="10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  <c r="DF47" s="119"/>
      <c r="DG47" s="119"/>
      <c r="DH47" s="119"/>
      <c r="DI47" s="119"/>
      <c r="DJ47" s="119"/>
      <c r="DK47" s="119"/>
      <c r="DL47" s="119"/>
      <c r="DM47" s="119"/>
      <c r="DN47" s="119"/>
      <c r="DO47" s="119"/>
      <c r="DP47" s="119"/>
      <c r="DQ47" s="119"/>
      <c r="DR47" s="119"/>
    </row>
    <row r="48" ht="30" customHeight="1">
      <c r="B48" s="367"/>
      <c r="C48" s="46" t="s">
        <v>185</v>
      </c>
      <c r="D48" s="46" t="s">
        <v>239</v>
      </c>
      <c r="E48" s="46"/>
      <c r="F48" s="46"/>
      <c r="G48" s="46"/>
      <c r="H48" s="46"/>
      <c r="I48" s="46"/>
      <c r="J48" s="46"/>
      <c r="K48" s="46"/>
      <c r="L48" s="46"/>
      <c r="M48" s="207"/>
      <c r="N48" s="46"/>
      <c r="O48" s="46"/>
      <c r="P48" s="46"/>
      <c r="Q48" s="46"/>
      <c r="R48" s="46"/>
      <c r="S48" s="207"/>
      <c r="T48" s="207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0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  <c r="DF48" s="119"/>
      <c r="DG48" s="119"/>
      <c r="DH48" s="119"/>
      <c r="DI48" s="119"/>
      <c r="DJ48" s="119"/>
      <c r="DK48" s="119"/>
      <c r="DL48" s="119"/>
      <c r="DM48" s="119"/>
      <c r="DN48" s="119"/>
      <c r="DO48" s="119"/>
      <c r="DP48" s="119"/>
      <c r="DQ48" s="119"/>
      <c r="DR48" s="119"/>
    </row>
    <row r="49" ht="30" customHeight="1">
      <c r="B49" s="367"/>
      <c r="C49" s="331" t="s">
        <v>241</v>
      </c>
      <c r="D49" s="46" t="s">
        <v>239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0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  <c r="DF49" s="119"/>
      <c r="DG49" s="119"/>
      <c r="DH49" s="119"/>
      <c r="DI49" s="119"/>
      <c r="DJ49" s="119"/>
      <c r="DK49" s="119"/>
      <c r="DL49" s="119"/>
      <c r="DM49" s="119"/>
      <c r="DN49" s="119"/>
      <c r="DO49" s="119"/>
      <c r="DP49" s="119"/>
      <c r="DQ49" s="119"/>
      <c r="DR49" s="119"/>
    </row>
    <row r="50" ht="30" customHeight="1">
      <c r="B50" s="367"/>
      <c r="C50" s="218" t="s">
        <v>242</v>
      </c>
      <c r="D50" s="185" t="s">
        <v>239</v>
      </c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119"/>
      <c r="BV50" s="119"/>
      <c r="BW50" s="119"/>
      <c r="BX50" s="10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  <c r="DF50" s="119"/>
      <c r="DG50" s="119"/>
      <c r="DH50" s="119"/>
      <c r="DI50" s="119"/>
      <c r="DJ50" s="119"/>
      <c r="DK50" s="119"/>
      <c r="DL50" s="119"/>
      <c r="DM50" s="119"/>
      <c r="DN50" s="119"/>
      <c r="DO50" s="119"/>
      <c r="DP50" s="119"/>
      <c r="DQ50" s="119"/>
      <c r="DR50" s="119"/>
    </row>
    <row r="51" ht="30" customHeight="1">
      <c r="B51" s="365" t="s">
        <v>243</v>
      </c>
      <c r="C51" s="331" t="s">
        <v>244</v>
      </c>
      <c r="D51" s="46" t="s">
        <v>245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207"/>
      <c r="AK51" s="207"/>
      <c r="AL51" s="207"/>
      <c r="AM51" s="207"/>
      <c r="AN51" s="207"/>
      <c r="AO51" s="207"/>
      <c r="AP51" s="207"/>
      <c r="AQ51" s="207"/>
      <c r="AR51" s="46"/>
      <c r="AS51" s="46"/>
      <c r="AT51" s="46"/>
      <c r="AU51" s="46"/>
      <c r="AV51" s="46"/>
      <c r="AW51" s="46"/>
      <c r="AX51" s="46"/>
      <c r="AY51" s="46"/>
      <c r="AZ51" s="46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0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  <c r="DF51" s="119"/>
      <c r="DG51" s="119"/>
      <c r="DH51" s="119"/>
      <c r="DI51" s="119"/>
      <c r="DJ51" s="119"/>
      <c r="DK51" s="119"/>
      <c r="DL51" s="119"/>
      <c r="DM51" s="119"/>
      <c r="DN51" s="119"/>
      <c r="DO51" s="119"/>
      <c r="DP51" s="119"/>
      <c r="DQ51" s="119"/>
      <c r="DR51" s="119"/>
    </row>
    <row r="52" ht="30" customHeight="1">
      <c r="B52" s="366"/>
      <c r="C52" s="46" t="s">
        <v>246</v>
      </c>
      <c r="D52" s="46" t="s">
        <v>247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09"/>
      <c r="BY52" s="119"/>
      <c r="BZ52" s="119"/>
      <c r="CA52" s="119"/>
      <c r="CB52" s="119"/>
      <c r="CC52" s="119"/>
      <c r="CD52" s="119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119"/>
      <c r="CS52" s="119"/>
      <c r="CT52" s="119"/>
      <c r="CU52" s="119"/>
      <c r="CV52" s="119"/>
      <c r="CW52" s="119"/>
      <c r="CX52" s="119"/>
      <c r="CY52" s="119"/>
      <c r="CZ52" s="119"/>
      <c r="DA52" s="109"/>
      <c r="DB52" s="119"/>
      <c r="DC52" s="119"/>
      <c r="DD52" s="119"/>
      <c r="DE52" s="119"/>
      <c r="DF52" s="203"/>
      <c r="DG52" s="203"/>
      <c r="DH52" s="119"/>
      <c r="DI52" s="119"/>
      <c r="DJ52" s="119"/>
      <c r="DK52" s="119"/>
      <c r="DL52" s="119"/>
      <c r="DM52" s="119"/>
      <c r="DN52" s="119"/>
      <c r="DO52" s="119"/>
      <c r="DP52" s="119"/>
      <c r="DQ52" s="119"/>
      <c r="DR52" s="119"/>
    </row>
    <row r="53" ht="49.5" customHeight="1">
      <c r="B53" s="366"/>
      <c r="C53" s="331" t="s">
        <v>248</v>
      </c>
      <c r="D53" s="46" t="s">
        <v>247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07"/>
      <c r="AS53" s="207"/>
      <c r="AT53" s="46"/>
      <c r="AU53" s="46"/>
      <c r="AV53" s="46"/>
      <c r="AW53" s="46"/>
      <c r="AX53" s="46"/>
      <c r="AY53" s="46"/>
      <c r="AZ53" s="46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1"/>
      <c r="BY53" s="46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  <c r="CU53" s="119"/>
      <c r="CV53" s="119"/>
      <c r="CW53" s="119"/>
      <c r="CX53" s="119"/>
      <c r="CY53" s="119"/>
      <c r="CZ53" s="119"/>
      <c r="DA53" s="111"/>
      <c r="DB53" s="46"/>
      <c r="DC53" s="119"/>
      <c r="DD53" s="119"/>
      <c r="DE53" s="119"/>
      <c r="DF53" s="119"/>
      <c r="DG53" s="119"/>
      <c r="DH53" s="203"/>
      <c r="DI53" s="203"/>
      <c r="DJ53" s="203"/>
      <c r="DK53" s="203"/>
      <c r="DL53" s="203"/>
      <c r="DM53" s="203"/>
      <c r="DN53" s="119"/>
      <c r="DO53" s="119"/>
      <c r="DP53" s="119"/>
      <c r="DQ53" s="119"/>
      <c r="DR53" s="119"/>
    </row>
    <row r="54" ht="30" customHeight="1">
      <c r="B54" s="366"/>
      <c r="C54" s="331" t="s">
        <v>249</v>
      </c>
      <c r="D54" s="46" t="s">
        <v>239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09"/>
      <c r="BY54" s="46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  <c r="CU54" s="119"/>
      <c r="CV54" s="119"/>
      <c r="CW54" s="119"/>
      <c r="CX54" s="119"/>
      <c r="CY54" s="119"/>
      <c r="CZ54" s="119"/>
      <c r="DA54" s="109"/>
      <c r="DB54" s="46"/>
      <c r="DC54" s="119"/>
      <c r="DD54" s="119"/>
      <c r="DE54" s="119"/>
      <c r="DF54" s="119"/>
      <c r="DG54" s="119"/>
      <c r="DH54" s="119"/>
      <c r="DI54" s="46"/>
      <c r="DJ54" s="119"/>
      <c r="DK54" s="119"/>
      <c r="DL54" s="119"/>
      <c r="DM54" s="119"/>
      <c r="DN54" s="203"/>
      <c r="DO54" s="203"/>
      <c r="DP54" s="203"/>
      <c r="DQ54" s="119"/>
      <c r="DR54" s="119"/>
    </row>
    <row r="55" ht="30" customHeight="1">
      <c r="B55" s="366"/>
      <c r="C55" s="46" t="s">
        <v>250</v>
      </c>
      <c r="D55" s="46" t="s">
        <v>239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09"/>
      <c r="BY55" s="46"/>
      <c r="BZ55" s="119"/>
      <c r="CA55" s="119"/>
      <c r="CB55" s="119"/>
      <c r="CC55" s="119"/>
      <c r="CD55" s="119"/>
      <c r="CE55" s="119"/>
      <c r="CF55" s="119"/>
      <c r="CG55" s="119"/>
      <c r="CH55" s="119"/>
      <c r="CI55" s="119"/>
      <c r="CJ55" s="119"/>
      <c r="CK55" s="119"/>
      <c r="CL55" s="119"/>
      <c r="CM55" s="119"/>
      <c r="CN55" s="119"/>
      <c r="CO55" s="119"/>
      <c r="CP55" s="119"/>
      <c r="CQ55" s="119"/>
      <c r="CR55" s="119"/>
      <c r="CS55" s="119"/>
      <c r="CT55" s="119"/>
      <c r="CU55" s="119"/>
      <c r="CV55" s="119"/>
      <c r="CW55" s="119"/>
      <c r="CX55" s="119"/>
      <c r="CY55" s="119"/>
      <c r="CZ55" s="119"/>
      <c r="DA55" s="109"/>
      <c r="DB55" s="46"/>
      <c r="DC55" s="119"/>
      <c r="DD55" s="119"/>
      <c r="DE55" s="119"/>
      <c r="DF55" s="119"/>
      <c r="DG55" s="119"/>
      <c r="DH55" s="119"/>
      <c r="DI55" s="46"/>
      <c r="DJ55" s="119"/>
      <c r="DK55" s="119"/>
      <c r="DL55" s="119"/>
      <c r="DM55" s="119"/>
      <c r="DN55" s="119"/>
      <c r="DO55" s="119"/>
      <c r="DP55" s="119"/>
      <c r="DQ55" s="203"/>
      <c r="DR55" s="119"/>
    </row>
    <row r="56" ht="30" customHeight="1">
      <c r="DO56" s="118"/>
      <c r="DP56" s="118"/>
      <c r="DQ56" s="118"/>
      <c r="DR56" s="118"/>
    </row>
    <row r="57" ht="30" customHeight="1">
      <c r="DO57" s="118"/>
      <c r="DP57" s="118"/>
      <c r="DQ57" s="118"/>
      <c r="DR57" s="118"/>
    </row>
    <row r="58" ht="30" customHeight="1">
      <c r="DO58" s="118"/>
      <c r="DP58" s="118"/>
      <c r="DQ58" s="118"/>
      <c r="DR58" s="118"/>
    </row>
    <row r="59" ht="30" customHeight="1">
      <c r="DO59" s="118"/>
      <c r="DP59" s="118"/>
      <c r="DQ59" s="118"/>
      <c r="DR59" s="118"/>
    </row>
    <row r="60" ht="30" customHeight="1">
      <c r="DO60" s="118"/>
      <c r="DP60" s="118"/>
      <c r="DQ60" s="118"/>
      <c r="DR60" s="118"/>
    </row>
    <row r="61" ht="30" customHeight="1">
      <c r="DO61" s="118"/>
      <c r="DP61" s="118"/>
      <c r="DQ61" s="118"/>
      <c r="DR61" s="118"/>
    </row>
    <row r="62" ht="30" customHeight="1">
      <c r="DO62" s="118"/>
      <c r="DP62" s="118"/>
      <c r="DQ62" s="118"/>
      <c r="DR62" s="118"/>
    </row>
    <row r="63" ht="30" customHeight="1">
      <c r="DO63" s="118"/>
      <c r="DP63" s="118"/>
      <c r="DQ63" s="118"/>
      <c r="DR63" s="118"/>
    </row>
    <row r="64" ht="30" customHeight="1">
      <c r="DO64" s="118"/>
      <c r="DP64" s="118"/>
      <c r="DQ64" s="118"/>
      <c r="DR64" s="118"/>
    </row>
    <row r="65" ht="30" customHeight="1">
      <c r="DO65" s="118"/>
      <c r="DP65" s="118"/>
      <c r="DQ65" s="118"/>
      <c r="DR65" s="118"/>
    </row>
    <row r="66" ht="30" customHeight="1">
      <c r="DO66" s="118"/>
      <c r="DP66" s="118"/>
      <c r="DQ66" s="118"/>
      <c r="DR66" s="118"/>
    </row>
    <row r="67" ht="30" customHeight="1">
      <c r="DO67" s="118"/>
      <c r="DP67" s="118"/>
      <c r="DQ67" s="118"/>
      <c r="DR67" s="118"/>
    </row>
    <row r="68" ht="30" customHeight="1">
      <c r="DO68" s="118"/>
      <c r="DP68" s="118"/>
      <c r="DQ68" s="118"/>
      <c r="DR68" s="118"/>
    </row>
    <row r="69" ht="30" customHeight="1">
      <c r="DO69" s="118"/>
      <c r="DP69" s="118"/>
      <c r="DQ69" s="118"/>
      <c r="DR69" s="118"/>
    </row>
    <row r="70" ht="30" customHeight="1">
      <c r="DO70" s="118"/>
      <c r="DP70" s="118"/>
      <c r="DQ70" s="118"/>
      <c r="DR70" s="118"/>
    </row>
    <row r="71" ht="30" customHeight="1">
      <c r="DO71" s="118"/>
      <c r="DP71" s="118"/>
      <c r="DQ71" s="118"/>
      <c r="DR71" s="118"/>
    </row>
    <row r="72" ht="30" customHeight="1">
      <c r="DO72" s="118"/>
      <c r="DP72" s="118"/>
      <c r="DQ72" s="118"/>
      <c r="DR72" s="118"/>
    </row>
    <row r="73" ht="30" customHeight="1">
      <c r="DO73" s="118"/>
      <c r="DP73" s="118"/>
      <c r="DQ73" s="118"/>
      <c r="DR73" s="118"/>
    </row>
    <row r="74" ht="30" customHeight="1">
      <c r="DO74" s="118"/>
      <c r="DP74" s="118"/>
      <c r="DQ74" s="118"/>
      <c r="DR74" s="118"/>
    </row>
    <row r="75" ht="30" customHeight="1">
      <c r="DO75" s="118"/>
      <c r="DP75" s="118"/>
      <c r="DQ75" s="118"/>
      <c r="DR75" s="118"/>
    </row>
    <row r="76" ht="30" customHeight="1">
      <c r="DO76" s="118"/>
      <c r="DP76" s="118"/>
      <c r="DQ76" s="118"/>
      <c r="DR76" s="118"/>
    </row>
    <row r="77" ht="30" customHeight="1">
      <c r="DO77" s="118"/>
      <c r="DP77" s="118"/>
      <c r="DQ77" s="118"/>
      <c r="DR77" s="118"/>
    </row>
    <row r="78" ht="30" customHeight="1">
      <c r="DO78" s="118"/>
      <c r="DP78" s="118"/>
      <c r="DQ78" s="118"/>
      <c r="DR78" s="118"/>
    </row>
    <row r="79" ht="30" customHeight="1">
      <c r="DO79" s="118"/>
      <c r="DP79" s="118"/>
      <c r="DQ79" s="118"/>
      <c r="DR79" s="118"/>
    </row>
    <row r="80" ht="30" customHeight="1">
      <c r="DO80" s="118"/>
      <c r="DP80" s="118"/>
      <c r="DQ80" s="118"/>
      <c r="DR80" s="118"/>
    </row>
    <row r="81" ht="30" customHeight="1">
      <c r="DO81" s="118"/>
      <c r="DP81" s="118"/>
      <c r="DQ81" s="118"/>
      <c r="DR81" s="118"/>
    </row>
    <row r="82" ht="30" customHeight="1">
      <c r="DO82" s="118"/>
      <c r="DP82" s="118"/>
      <c r="DQ82" s="118"/>
      <c r="DR82" s="118"/>
    </row>
    <row r="83" ht="30" customHeight="1">
      <c r="DO83" s="118"/>
      <c r="DP83" s="118"/>
      <c r="DQ83" s="118"/>
      <c r="DR83" s="118"/>
    </row>
    <row r="84" ht="30" customHeight="1">
      <c r="DO84" s="118"/>
      <c r="DP84" s="118"/>
      <c r="DQ84" s="118"/>
      <c r="DR84" s="118"/>
    </row>
    <row r="85" ht="30" customHeight="1">
      <c r="DO85" s="118"/>
      <c r="DP85" s="118"/>
      <c r="DQ85" s="118"/>
      <c r="DR85" s="118"/>
    </row>
    <row r="86" ht="30" customHeight="1">
      <c r="DO86" s="118"/>
      <c r="DP86" s="118"/>
      <c r="DQ86" s="118"/>
      <c r="DR86" s="118"/>
    </row>
    <row r="87" ht="30" customHeight="1">
      <c r="DO87" s="118"/>
      <c r="DP87" s="118"/>
      <c r="DQ87" s="118"/>
      <c r="DR87" s="118"/>
    </row>
    <row r="88" ht="30" customHeight="1">
      <c r="DO88" s="118"/>
      <c r="DP88" s="118"/>
      <c r="DQ88" s="118"/>
      <c r="DR88" s="118"/>
    </row>
    <row r="89" ht="30" customHeight="1">
      <c r="DO89" s="118"/>
      <c r="DP89" s="118"/>
      <c r="DQ89" s="118"/>
      <c r="DR89" s="118"/>
    </row>
    <row r="90" ht="30" customHeight="1">
      <c r="DO90" s="118"/>
      <c r="DP90" s="118"/>
      <c r="DQ90" s="118"/>
      <c r="DR90" s="118"/>
    </row>
    <row r="91" ht="30" customHeight="1">
      <c r="DO91" s="118"/>
      <c r="DP91" s="118"/>
      <c r="DQ91" s="118"/>
      <c r="DR91" s="118"/>
    </row>
    <row r="92" ht="30" customHeight="1">
      <c r="DO92" s="118"/>
      <c r="DP92" s="118"/>
      <c r="DQ92" s="118"/>
      <c r="DR92" s="118"/>
    </row>
    <row r="93" ht="30" customHeight="1">
      <c r="DO93" s="118"/>
      <c r="DP93" s="118"/>
      <c r="DQ93" s="118"/>
      <c r="DR93" s="118"/>
    </row>
    <row r="94" ht="30" customHeight="1">
      <c r="DO94" s="118"/>
      <c r="DP94" s="118"/>
      <c r="DQ94" s="118"/>
      <c r="DR94" s="118"/>
    </row>
    <row r="95" ht="30" customHeight="1">
      <c r="DO95" s="118"/>
      <c r="DP95" s="118"/>
      <c r="DQ95" s="118"/>
      <c r="DR95" s="118"/>
    </row>
    <row r="96" ht="30" customHeight="1">
      <c r="DO96" s="118"/>
      <c r="DP96" s="118"/>
      <c r="DQ96" s="118"/>
      <c r="DR96" s="118"/>
    </row>
    <row r="97" ht="30" customHeight="1">
      <c r="DO97" s="118"/>
      <c r="DP97" s="118"/>
      <c r="DQ97" s="118"/>
      <c r="DR97" s="118"/>
    </row>
    <row r="98" ht="30" customHeight="1">
      <c r="DO98" s="118"/>
      <c r="DP98" s="118"/>
      <c r="DQ98" s="118"/>
      <c r="DR98" s="118"/>
    </row>
    <row r="99" ht="30" customHeight="1">
      <c r="DO99" s="118"/>
      <c r="DP99" s="118"/>
      <c r="DQ99" s="118"/>
      <c r="DR99" s="118"/>
    </row>
    <row r="100" ht="30" customHeight="1">
      <c r="DO100" s="118"/>
      <c r="DP100" s="118"/>
      <c r="DQ100" s="118"/>
      <c r="DR100" s="118"/>
    </row>
    <row r="101" ht="30" customHeight="1">
      <c r="DO101" s="118"/>
      <c r="DP101" s="118"/>
      <c r="DQ101" s="118"/>
      <c r="DR101" s="118"/>
    </row>
    <row r="102" ht="30" customHeight="1">
      <c r="DO102" s="118"/>
      <c r="DP102" s="118"/>
      <c r="DQ102" s="118"/>
      <c r="DR102" s="118"/>
    </row>
    <row r="103" ht="30" customHeight="1">
      <c r="DO103" s="118"/>
      <c r="DP103" s="118"/>
      <c r="DQ103" s="118"/>
      <c r="DR103" s="118"/>
    </row>
    <row r="104" ht="30" customHeight="1">
      <c r="DO104" s="118"/>
      <c r="DP104" s="118"/>
      <c r="DQ104" s="118"/>
      <c r="DR104" s="118"/>
    </row>
    <row r="105" ht="30" customHeight="1">
      <c r="DO105" s="118"/>
      <c r="DP105" s="118"/>
      <c r="DQ105" s="118"/>
      <c r="DR105" s="118"/>
    </row>
    <row r="106" ht="30" customHeight="1">
      <c r="DO106" s="118"/>
      <c r="DP106" s="118"/>
      <c r="DQ106" s="118"/>
      <c r="DR106" s="118"/>
    </row>
    <row r="107" ht="30" customHeight="1">
      <c r="DO107" s="118"/>
      <c r="DP107" s="118"/>
      <c r="DQ107" s="118"/>
      <c r="DR107" s="118"/>
    </row>
    <row r="108" ht="30" customHeight="1">
      <c r="DO108" s="118"/>
      <c r="DP108" s="118"/>
      <c r="DQ108" s="118"/>
      <c r="DR108" s="118"/>
    </row>
    <row r="109" ht="30" customHeight="1">
      <c r="DO109" s="118"/>
      <c r="DP109" s="118"/>
      <c r="DQ109" s="118"/>
      <c r="DR109" s="118"/>
    </row>
    <row r="110" ht="30" customHeight="1">
      <c r="DO110" s="118"/>
      <c r="DP110" s="118"/>
      <c r="DQ110" s="118"/>
      <c r="DR110" s="118"/>
    </row>
    <row r="111" ht="30" customHeight="1">
      <c r="DO111" s="118"/>
      <c r="DP111" s="118"/>
      <c r="DQ111" s="118"/>
      <c r="DR111" s="118"/>
    </row>
    <row r="112" ht="30" customHeight="1">
      <c r="DO112" s="118"/>
      <c r="DP112" s="118"/>
      <c r="DQ112" s="118"/>
      <c r="DR112" s="118"/>
    </row>
    <row r="113" ht="30" customHeight="1">
      <c r="DO113" s="118"/>
      <c r="DP113" s="118"/>
      <c r="DQ113" s="118"/>
      <c r="DR113" s="118"/>
    </row>
    <row r="114" ht="30" customHeight="1">
      <c r="DO114" s="118"/>
      <c r="DP114" s="118"/>
      <c r="DQ114" s="118"/>
      <c r="DR114" s="118"/>
    </row>
    <row r="115" ht="30" customHeight="1">
      <c r="DO115" s="118"/>
      <c r="DP115" s="118"/>
      <c r="DQ115" s="118"/>
      <c r="DR115" s="118"/>
    </row>
    <row r="116" ht="30" customHeight="1">
      <c r="DO116" s="118"/>
      <c r="DP116" s="118"/>
      <c r="DQ116" s="118"/>
      <c r="DR116" s="118"/>
    </row>
    <row r="117" ht="30" customHeight="1">
      <c r="DO117" s="118"/>
      <c r="DP117" s="118"/>
      <c r="DQ117" s="118"/>
      <c r="DR117" s="118"/>
    </row>
    <row r="118" ht="30" customHeight="1">
      <c r="DO118" s="118"/>
      <c r="DP118" s="118"/>
      <c r="DQ118" s="118"/>
      <c r="DR118" s="118"/>
    </row>
    <row r="119" ht="30" customHeight="1">
      <c r="DO119" s="118"/>
      <c r="DP119" s="118"/>
      <c r="DQ119" s="118"/>
      <c r="DR119" s="118"/>
    </row>
    <row r="120" ht="30" customHeight="1">
      <c r="DO120" s="118"/>
      <c r="DP120" s="118"/>
      <c r="DQ120" s="118"/>
      <c r="DR120" s="118"/>
    </row>
    <row r="121" ht="30" customHeight="1">
      <c r="DO121" s="118"/>
      <c r="DP121" s="118"/>
      <c r="DQ121" s="118"/>
      <c r="DR121" s="118"/>
    </row>
    <row r="122" ht="30" customHeight="1">
      <c r="DO122" s="118"/>
      <c r="DP122" s="118"/>
      <c r="DQ122" s="118"/>
      <c r="DR122" s="118"/>
    </row>
    <row r="123" ht="30" customHeight="1">
      <c r="DO123" s="118"/>
      <c r="DP123" s="118"/>
      <c r="DQ123" s="118"/>
      <c r="DR123" s="118"/>
    </row>
    <row r="124" ht="30" customHeight="1">
      <c r="DO124" s="118"/>
      <c r="DP124" s="118"/>
      <c r="DQ124" s="118"/>
      <c r="DR124" s="118"/>
    </row>
    <row r="125" ht="30" customHeight="1">
      <c r="DO125" s="118"/>
      <c r="DP125" s="118"/>
      <c r="DQ125" s="118"/>
      <c r="DR125" s="118"/>
    </row>
    <row r="126" ht="30" customHeight="1">
      <c r="DO126" s="118"/>
      <c r="DP126" s="118"/>
      <c r="DQ126" s="118"/>
      <c r="DR126" s="118"/>
    </row>
    <row r="127" ht="30" customHeight="1">
      <c r="DO127" s="118"/>
      <c r="DP127" s="118"/>
      <c r="DQ127" s="118"/>
      <c r="DR127" s="118"/>
    </row>
    <row r="128" ht="30" customHeight="1">
      <c r="DO128" s="118"/>
      <c r="DP128" s="118"/>
      <c r="DQ128" s="118"/>
      <c r="DR128" s="118"/>
    </row>
    <row r="129" ht="30" customHeight="1">
      <c r="DO129" s="118"/>
      <c r="DP129" s="118"/>
      <c r="DQ129" s="118"/>
      <c r="DR129" s="118"/>
    </row>
    <row r="130" ht="30" customHeight="1">
      <c r="DO130" s="118"/>
      <c r="DP130" s="118"/>
      <c r="DQ130" s="118"/>
      <c r="DR130" s="118"/>
    </row>
    <row r="131" ht="30" customHeight="1">
      <c r="DO131" s="118"/>
      <c r="DP131" s="118"/>
      <c r="DQ131" s="118"/>
      <c r="DR131" s="118"/>
    </row>
    <row r="132" ht="30" customHeight="1">
      <c r="DO132" s="118"/>
      <c r="DP132" s="118"/>
      <c r="DQ132" s="118"/>
      <c r="DR132" s="118"/>
    </row>
    <row r="133" ht="30" customHeight="1">
      <c r="DO133" s="118"/>
      <c r="DP133" s="118"/>
      <c r="DQ133" s="118"/>
      <c r="DR133" s="118"/>
    </row>
    <row r="134" ht="30" customHeight="1">
      <c r="DO134" s="118"/>
      <c r="DP134" s="118"/>
      <c r="DQ134" s="118"/>
      <c r="DR134" s="118"/>
    </row>
    <row r="135" ht="30" customHeight="1">
      <c r="DO135" s="118"/>
      <c r="DP135" s="118"/>
      <c r="DQ135" s="118"/>
      <c r="DR135" s="118"/>
    </row>
    <row r="136" ht="30" customHeight="1">
      <c r="DO136" s="118"/>
      <c r="DP136" s="118"/>
      <c r="DQ136" s="118"/>
      <c r="DR136" s="118"/>
    </row>
    <row r="137" ht="30" customHeight="1">
      <c r="DO137" s="118"/>
      <c r="DP137" s="118"/>
      <c r="DQ137" s="118"/>
      <c r="DR137" s="118"/>
    </row>
    <row r="138" ht="30" customHeight="1">
      <c r="DO138" s="118"/>
      <c r="DP138" s="118"/>
      <c r="DQ138" s="118"/>
      <c r="DR138" s="118"/>
    </row>
    <row r="139" ht="30" customHeight="1">
      <c r="DO139" s="118"/>
      <c r="DP139" s="118"/>
      <c r="DQ139" s="118"/>
      <c r="DR139" s="118"/>
    </row>
    <row r="140" ht="30" customHeight="1">
      <c r="DO140" s="118"/>
      <c r="DP140" s="118"/>
      <c r="DQ140" s="118"/>
      <c r="DR140" s="118"/>
    </row>
    <row r="141" ht="30" customHeight="1">
      <c r="DO141" s="118"/>
      <c r="DP141" s="118"/>
      <c r="DQ141" s="118"/>
      <c r="DR141" s="118"/>
    </row>
    <row r="142" ht="30" customHeight="1">
      <c r="DO142" s="118"/>
      <c r="DP142" s="118"/>
      <c r="DQ142" s="118"/>
      <c r="DR142" s="118"/>
    </row>
    <row r="143" ht="30" customHeight="1">
      <c r="DO143" s="118"/>
      <c r="DP143" s="118"/>
      <c r="DQ143" s="118"/>
      <c r="DR143" s="118"/>
    </row>
    <row r="144" ht="30" customHeight="1">
      <c r="DO144" s="118"/>
      <c r="DP144" s="118"/>
      <c r="DQ144" s="118"/>
      <c r="DR144" s="118"/>
    </row>
    <row r="145" ht="30" customHeight="1">
      <c r="DO145" s="118"/>
      <c r="DP145" s="118"/>
      <c r="DQ145" s="118"/>
      <c r="DR145" s="118"/>
    </row>
    <row r="146" ht="30" customHeight="1">
      <c r="DO146" s="118"/>
      <c r="DP146" s="118"/>
      <c r="DQ146" s="118"/>
      <c r="DR146" s="118"/>
    </row>
    <row r="147" ht="30" customHeight="1">
      <c r="DO147" s="118"/>
      <c r="DP147" s="118"/>
      <c r="DQ147" s="118"/>
      <c r="DR147" s="118"/>
    </row>
    <row r="148" ht="30" customHeight="1">
      <c r="DO148" s="118"/>
      <c r="DP148" s="118"/>
      <c r="DQ148" s="118"/>
      <c r="DR148" s="118"/>
    </row>
    <row r="149" ht="30" customHeight="1">
      <c r="DO149" s="118"/>
      <c r="DP149" s="118"/>
      <c r="DQ149" s="118"/>
      <c r="DR149" s="118"/>
    </row>
    <row r="150" ht="30" customHeight="1">
      <c r="DO150" s="118"/>
      <c r="DP150" s="118"/>
      <c r="DQ150" s="118"/>
      <c r="DR150" s="118"/>
    </row>
    <row r="151" ht="30" customHeight="1">
      <c r="DO151" s="118"/>
      <c r="DP151" s="118"/>
      <c r="DQ151" s="118"/>
      <c r="DR151" s="118"/>
    </row>
    <row r="152" ht="30" customHeight="1">
      <c r="DO152" s="118"/>
      <c r="DP152" s="118"/>
      <c r="DQ152" s="118"/>
      <c r="DR152" s="118"/>
    </row>
    <row r="153" ht="30" customHeight="1">
      <c r="DO153" s="118"/>
      <c r="DP153" s="118"/>
      <c r="DQ153" s="118"/>
      <c r="DR153" s="118"/>
    </row>
    <row r="154" ht="30" customHeight="1">
      <c r="DO154" s="118"/>
      <c r="DP154" s="118"/>
      <c r="DQ154" s="118"/>
      <c r="DR154" s="118"/>
    </row>
    <row r="155" ht="30" customHeight="1">
      <c r="DO155" s="118"/>
      <c r="DP155" s="118"/>
      <c r="DQ155" s="118"/>
      <c r="DR155" s="118"/>
    </row>
    <row r="156" ht="30" customHeight="1">
      <c r="DO156" s="118"/>
      <c r="DP156" s="118"/>
      <c r="DQ156" s="118"/>
      <c r="DR156" s="118"/>
    </row>
    <row r="157" ht="30" customHeight="1">
      <c r="DO157" s="118"/>
      <c r="DP157" s="118"/>
      <c r="DQ157" s="118"/>
      <c r="DR157" s="118"/>
    </row>
    <row r="158" ht="30" customHeight="1">
      <c r="DO158" s="118"/>
      <c r="DP158" s="118"/>
      <c r="DQ158" s="118"/>
      <c r="DR158" s="118"/>
    </row>
    <row r="159" ht="30" customHeight="1">
      <c r="DO159" s="118"/>
      <c r="DP159" s="118"/>
      <c r="DQ159" s="118"/>
      <c r="DR159" s="118"/>
    </row>
    <row r="160" ht="30" customHeight="1">
      <c r="DO160" s="118"/>
      <c r="DP160" s="118"/>
      <c r="DQ160" s="118"/>
      <c r="DR160" s="118"/>
    </row>
    <row r="161" ht="30" customHeight="1">
      <c r="DO161" s="118"/>
      <c r="DP161" s="118"/>
      <c r="DQ161" s="118"/>
      <c r="DR161" s="118"/>
    </row>
    <row r="162" ht="30" customHeight="1">
      <c r="DO162" s="118"/>
      <c r="DP162" s="118"/>
      <c r="DQ162" s="118"/>
      <c r="DR162" s="118"/>
    </row>
    <row r="163" ht="30" customHeight="1">
      <c r="DO163" s="118"/>
      <c r="DP163" s="118"/>
      <c r="DQ163" s="118"/>
      <c r="DR163" s="118"/>
    </row>
    <row r="164" ht="30" customHeight="1">
      <c r="DO164" s="118"/>
      <c r="DP164" s="118"/>
      <c r="DQ164" s="118"/>
      <c r="DR164" s="118"/>
    </row>
    <row r="165" ht="30" customHeight="1">
      <c r="DO165" s="118"/>
      <c r="DP165" s="118"/>
      <c r="DQ165" s="118"/>
      <c r="DR165" s="118"/>
    </row>
    <row r="166" ht="30" customHeight="1">
      <c r="DO166" s="118"/>
      <c r="DP166" s="118"/>
      <c r="DQ166" s="118"/>
      <c r="DR166" s="118"/>
    </row>
    <row r="167" ht="30" customHeight="1">
      <c r="DO167" s="118"/>
      <c r="DP167" s="118"/>
      <c r="DQ167" s="118"/>
      <c r="DR167" s="118"/>
    </row>
    <row r="168" ht="30" customHeight="1">
      <c r="DO168" s="118"/>
      <c r="DP168" s="118"/>
      <c r="DQ168" s="118"/>
      <c r="DR168" s="118"/>
    </row>
    <row r="169" ht="30" customHeight="1">
      <c r="DO169" s="118"/>
      <c r="DP169" s="118"/>
      <c r="DQ169" s="118"/>
      <c r="DR169" s="118"/>
    </row>
    <row r="170" ht="30" customHeight="1">
      <c r="DO170" s="118"/>
      <c r="DP170" s="118"/>
      <c r="DQ170" s="118"/>
      <c r="DR170" s="118"/>
    </row>
    <row r="171" ht="30" customHeight="1">
      <c r="DO171" s="118"/>
      <c r="DP171" s="118"/>
      <c r="DQ171" s="118"/>
      <c r="DR171" s="118"/>
    </row>
    <row r="172" ht="30" customHeight="1">
      <c r="DO172" s="118"/>
      <c r="DP172" s="118"/>
      <c r="DQ172" s="118"/>
      <c r="DR172" s="118"/>
    </row>
    <row r="173" ht="30" customHeight="1">
      <c r="DO173" s="118"/>
      <c r="DP173" s="118"/>
      <c r="DQ173" s="118"/>
      <c r="DR173" s="118"/>
    </row>
    <row r="174" ht="30" customHeight="1">
      <c r="DO174" s="118"/>
      <c r="DP174" s="118"/>
      <c r="DQ174" s="118"/>
      <c r="DR174" s="118"/>
    </row>
    <row r="175" ht="30" customHeight="1">
      <c r="DO175" s="118"/>
      <c r="DP175" s="118"/>
      <c r="DQ175" s="118"/>
      <c r="DR175" s="118"/>
    </row>
    <row r="176" ht="30" customHeight="1">
      <c r="DO176" s="118"/>
      <c r="DP176" s="118"/>
      <c r="DQ176" s="118"/>
      <c r="DR176" s="118"/>
    </row>
    <row r="177" ht="30" customHeight="1">
      <c r="DO177" s="118"/>
      <c r="DP177" s="118"/>
      <c r="DQ177" s="118"/>
      <c r="DR177" s="118"/>
    </row>
    <row r="178" ht="30" customHeight="1">
      <c r="DO178" s="118"/>
      <c r="DP178" s="118"/>
      <c r="DQ178" s="118"/>
      <c r="DR178" s="118"/>
    </row>
    <row r="179" ht="30" customHeight="1">
      <c r="DO179" s="118"/>
      <c r="DP179" s="118"/>
      <c r="DQ179" s="118"/>
      <c r="DR179" s="118"/>
    </row>
    <row r="180" ht="30" customHeight="1">
      <c r="DO180" s="118"/>
      <c r="DP180" s="118"/>
      <c r="DQ180" s="118"/>
      <c r="DR180" s="118"/>
    </row>
    <row r="181" ht="30" customHeight="1">
      <c r="DO181" s="118"/>
      <c r="DP181" s="118"/>
      <c r="DQ181" s="118"/>
      <c r="DR181" s="118"/>
    </row>
    <row r="182" ht="30" customHeight="1">
      <c r="DO182" s="118"/>
      <c r="DP182" s="118"/>
      <c r="DQ182" s="118"/>
      <c r="DR182" s="118"/>
    </row>
    <row r="183" ht="30" customHeight="1">
      <c r="DO183" s="118"/>
      <c r="DP183" s="118"/>
      <c r="DQ183" s="118"/>
      <c r="DR183" s="118"/>
    </row>
    <row r="184" ht="30" customHeight="1">
      <c r="DO184" s="118"/>
      <c r="DP184" s="118"/>
      <c r="DQ184" s="118"/>
      <c r="DR184" s="118"/>
    </row>
    <row r="185" ht="30" customHeight="1">
      <c r="DO185" s="118"/>
      <c r="DP185" s="118"/>
      <c r="DQ185" s="118"/>
      <c r="DR185" s="118"/>
    </row>
    <row r="186" ht="30" customHeight="1">
      <c r="DO186" s="118"/>
      <c r="DP186" s="118"/>
      <c r="DQ186" s="118"/>
      <c r="DR186" s="118"/>
    </row>
    <row r="187" ht="30" customHeight="1">
      <c r="DO187" s="118"/>
      <c r="DP187" s="118"/>
      <c r="DQ187" s="118"/>
      <c r="DR187" s="118"/>
    </row>
    <row r="188" ht="30" customHeight="1">
      <c r="DO188" s="118"/>
      <c r="DP188" s="118"/>
      <c r="DQ188" s="118"/>
      <c r="DR188" s="118"/>
    </row>
    <row r="189" ht="30" customHeight="1">
      <c r="DO189" s="118"/>
      <c r="DP189" s="118"/>
      <c r="DQ189" s="118"/>
      <c r="DR189" s="118"/>
    </row>
    <row r="190" ht="30" customHeight="1">
      <c r="DO190" s="118"/>
      <c r="DP190" s="118"/>
      <c r="DQ190" s="118"/>
      <c r="DR190" s="118"/>
    </row>
    <row r="191" ht="30" customHeight="1">
      <c r="DO191" s="118"/>
      <c r="DP191" s="118"/>
      <c r="DQ191" s="118"/>
      <c r="DR191" s="118"/>
    </row>
    <row r="192" ht="30" customHeight="1">
      <c r="DO192" s="118"/>
      <c r="DP192" s="118"/>
      <c r="DQ192" s="118"/>
      <c r="DR192" s="118"/>
    </row>
    <row r="193" ht="30" customHeight="1">
      <c r="DO193" s="118"/>
      <c r="DP193" s="118"/>
      <c r="DQ193" s="118"/>
      <c r="DR193" s="118"/>
    </row>
    <row r="194" ht="30" customHeight="1">
      <c r="DO194" s="118"/>
      <c r="DP194" s="118"/>
      <c r="DQ194" s="118"/>
      <c r="DR194" s="118"/>
    </row>
    <row r="195" ht="30" customHeight="1">
      <c r="DO195" s="118"/>
      <c r="DP195" s="118"/>
      <c r="DQ195" s="118"/>
      <c r="DR195" s="118"/>
    </row>
    <row r="196" ht="30" customHeight="1">
      <c r="DO196" s="118"/>
      <c r="DP196" s="118"/>
      <c r="DQ196" s="118"/>
      <c r="DR196" s="118"/>
    </row>
    <row r="197" ht="30" customHeight="1">
      <c r="DO197" s="118"/>
      <c r="DP197" s="118"/>
      <c r="DQ197" s="118"/>
      <c r="DR197" s="118"/>
    </row>
    <row r="198" ht="30" customHeight="1">
      <c r="DO198" s="118"/>
      <c r="DP198" s="118"/>
      <c r="DQ198" s="118"/>
      <c r="DR198" s="118"/>
    </row>
    <row r="199" ht="30" customHeight="1">
      <c r="DO199" s="118"/>
      <c r="DP199" s="118"/>
      <c r="DQ199" s="118"/>
      <c r="DR199" s="118"/>
    </row>
    <row r="200" ht="30" customHeight="1">
      <c r="DO200" s="118"/>
      <c r="DP200" s="118"/>
      <c r="DQ200" s="118"/>
      <c r="DR200" s="118"/>
    </row>
  </sheetData>
  <mergeCells count="36">
    <mergeCell ref="B51:B55"/>
    <mergeCell ref="DE2:DH2"/>
    <mergeCell ref="B3:C3"/>
    <mergeCell ref="B4:B22"/>
    <mergeCell ref="B36:B45"/>
    <mergeCell ref="B46:B50"/>
    <mergeCell ref="CG2:CJ2"/>
    <mergeCell ref="CK2:CN2"/>
    <mergeCell ref="CO2:CR2"/>
    <mergeCell ref="CS2:CV2"/>
    <mergeCell ref="CW2:CZ2"/>
    <mergeCell ref="DA2:DD2"/>
    <mergeCell ref="BI2:BL2"/>
    <mergeCell ref="BM2:BP2"/>
    <mergeCell ref="BQ2:BT2"/>
    <mergeCell ref="BU2:BX2"/>
    <mergeCell ref="BY2:CB2"/>
    <mergeCell ref="CC2:CF2"/>
    <mergeCell ref="AK2:AN2"/>
    <mergeCell ref="AO2:AR2"/>
    <mergeCell ref="AS2:AV2"/>
    <mergeCell ref="AW2:AZ2"/>
    <mergeCell ref="BA2:BD2"/>
    <mergeCell ref="BE2:BH2"/>
    <mergeCell ref="C1:BT1"/>
    <mergeCell ref="B2:C2"/>
    <mergeCell ref="E2:H2"/>
    <mergeCell ref="I2:L2"/>
    <mergeCell ref="M2:P2"/>
    <mergeCell ref="Q2:T2"/>
    <mergeCell ref="U2:X2"/>
    <mergeCell ref="Y2:AB2"/>
    <mergeCell ref="AC2:AF2"/>
    <mergeCell ref="AG2:AJ2"/>
    <mergeCell ref="DM2:DP2"/>
    <mergeCell ref="DI2:DL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Normal="100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16" width="2.4990234375" customWidth="1" style="118"/>
  </cols>
  <sheetData>
    <row r="1" ht="30" customHeight="1">
      <c r="C1" s="359" t="s">
        <v>171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DM1" s="118" t="s">
        <v>172</v>
      </c>
    </row>
    <row r="2" ht="30" customHeight="1">
      <c r="B2" s="361" t="s">
        <v>173</v>
      </c>
      <c r="C2" s="361"/>
      <c r="D2" s="336" t="s">
        <v>174</v>
      </c>
      <c r="E2" s="362" t="n">
        <v>8</v>
      </c>
      <c r="F2" s="363"/>
      <c r="G2" s="363"/>
      <c r="H2" s="363"/>
      <c r="I2" s="362" t="n">
        <v>9</v>
      </c>
      <c r="J2" s="363"/>
      <c r="K2" s="363"/>
      <c r="L2" s="363"/>
      <c r="M2" s="362" t="n">
        <v>10</v>
      </c>
      <c r="N2" s="363"/>
      <c r="O2" s="363"/>
      <c r="P2" s="363"/>
      <c r="Q2" s="362" t="n">
        <v>11</v>
      </c>
      <c r="R2" s="363"/>
      <c r="S2" s="363"/>
      <c r="T2" s="363"/>
      <c r="U2" s="362" t="n">
        <v>12</v>
      </c>
      <c r="V2" s="363"/>
      <c r="W2" s="363"/>
      <c r="X2" s="363"/>
      <c r="Y2" s="363" t="n">
        <v>1</v>
      </c>
      <c r="Z2" s="363"/>
      <c r="AA2" s="363"/>
      <c r="AB2" s="363"/>
      <c r="AC2" s="363" t="n">
        <v>2</v>
      </c>
      <c r="AD2" s="363"/>
      <c r="AE2" s="363"/>
      <c r="AF2" s="363"/>
      <c r="AG2" s="363" t="n">
        <v>3</v>
      </c>
      <c r="AH2" s="363"/>
      <c r="AI2" s="363"/>
      <c r="AJ2" s="363"/>
      <c r="AK2" s="363" t="n">
        <v>4</v>
      </c>
      <c r="AL2" s="363"/>
      <c r="AM2" s="363"/>
      <c r="AN2" s="363"/>
      <c r="AO2" s="363" t="n">
        <v>5</v>
      </c>
      <c r="AP2" s="363"/>
      <c r="AQ2" s="363"/>
      <c r="AR2" s="363"/>
      <c r="AS2" s="363" t="n">
        <v>6</v>
      </c>
      <c r="AT2" s="363"/>
      <c r="AU2" s="363"/>
      <c r="AV2" s="363"/>
      <c r="AW2" s="363" t="n">
        <v>7</v>
      </c>
      <c r="AX2" s="363"/>
      <c r="AY2" s="363"/>
      <c r="AZ2" s="363"/>
      <c r="BA2" s="363" t="n">
        <v>8</v>
      </c>
      <c r="BB2" s="363"/>
      <c r="BC2" s="363"/>
      <c r="BD2" s="363"/>
      <c r="BE2" s="363" t="n">
        <v>9</v>
      </c>
      <c r="BF2" s="363"/>
      <c r="BG2" s="363"/>
      <c r="BH2" s="363"/>
      <c r="BI2" s="363" t="n">
        <v>10</v>
      </c>
      <c r="BJ2" s="363"/>
      <c r="BK2" s="363"/>
      <c r="BL2" s="363"/>
      <c r="BM2" s="363" t="n">
        <v>11</v>
      </c>
      <c r="BN2" s="363"/>
      <c r="BO2" s="363"/>
      <c r="BP2" s="363"/>
      <c r="BQ2" s="363" t="n">
        <v>12</v>
      </c>
      <c r="BR2" s="363"/>
      <c r="BS2" s="363"/>
      <c r="BT2" s="363"/>
      <c r="BU2" s="363" t="n">
        <v>1</v>
      </c>
      <c r="BV2" s="363"/>
      <c r="BW2" s="363"/>
      <c r="BX2" s="363"/>
      <c r="BY2" s="364" t="n">
        <v>2</v>
      </c>
      <c r="BZ2" s="364"/>
      <c r="CA2" s="364"/>
      <c r="CB2" s="364"/>
      <c r="CC2" s="364" t="n">
        <v>3</v>
      </c>
      <c r="CD2" s="364"/>
      <c r="CE2" s="364"/>
      <c r="CF2" s="364"/>
      <c r="CG2" s="364" t="n">
        <v>4</v>
      </c>
      <c r="CH2" s="364"/>
      <c r="CI2" s="364"/>
      <c r="CJ2" s="364"/>
      <c r="CK2" s="364" t="n">
        <v>5</v>
      </c>
      <c r="CL2" s="364"/>
      <c r="CM2" s="364"/>
      <c r="CN2" s="364"/>
      <c r="CO2" s="364" t="n">
        <v>6</v>
      </c>
      <c r="CP2" s="364"/>
      <c r="CQ2" s="364"/>
      <c r="CR2" s="364"/>
      <c r="CS2" s="364" t="n">
        <v>7</v>
      </c>
      <c r="CT2" s="364"/>
      <c r="CU2" s="364"/>
      <c r="CV2" s="364"/>
      <c r="CW2" s="364" t="n">
        <v>8</v>
      </c>
      <c r="CX2" s="364"/>
      <c r="CY2" s="364"/>
      <c r="CZ2" s="364"/>
      <c r="DA2" s="364" t="n">
        <v>9</v>
      </c>
      <c r="DB2" s="364"/>
      <c r="DC2" s="364"/>
      <c r="DD2" s="364"/>
      <c r="DE2" s="364" t="n">
        <v>10</v>
      </c>
      <c r="DF2" s="364"/>
      <c r="DG2" s="364"/>
      <c r="DH2" s="364"/>
      <c r="DI2" s="364" t="n">
        <v>11</v>
      </c>
      <c r="DJ2" s="364"/>
      <c r="DK2" s="364"/>
      <c r="DL2" s="364"/>
    </row>
    <row r="3" ht="30" customHeight="1">
      <c r="B3" s="361" t="s">
        <v>175</v>
      </c>
      <c r="C3" s="361"/>
      <c r="D3" s="336" t="s">
        <v>176</v>
      </c>
      <c r="E3" s="333" t="n">
        <v>1</v>
      </c>
      <c r="F3" s="332" t="n">
        <v>2</v>
      </c>
      <c r="G3" s="332" t="n">
        <v>3</v>
      </c>
      <c r="H3" s="332" t="n">
        <v>4</v>
      </c>
      <c r="I3" s="332" t="n">
        <v>1</v>
      </c>
      <c r="J3" s="332" t="n">
        <v>2</v>
      </c>
      <c r="K3" s="332" t="n">
        <v>3</v>
      </c>
      <c r="L3" s="332" t="n">
        <v>4</v>
      </c>
      <c r="M3" s="333" t="n">
        <v>1</v>
      </c>
      <c r="N3" s="332" t="n">
        <v>2</v>
      </c>
      <c r="O3" s="332" t="n">
        <v>3</v>
      </c>
      <c r="P3" s="332" t="n">
        <v>4</v>
      </c>
      <c r="Q3" s="332" t="n">
        <v>1</v>
      </c>
      <c r="R3" s="332" t="n">
        <v>2</v>
      </c>
      <c r="S3" s="332" t="n">
        <v>3</v>
      </c>
      <c r="T3" s="332" t="n">
        <v>4</v>
      </c>
      <c r="U3" s="333" t="n">
        <v>1</v>
      </c>
      <c r="V3" s="332" t="n">
        <v>2</v>
      </c>
      <c r="W3" s="332" t="n">
        <v>3</v>
      </c>
      <c r="X3" s="332" t="n">
        <v>4</v>
      </c>
      <c r="Y3" s="332" t="n">
        <v>1</v>
      </c>
      <c r="Z3" s="332" t="n">
        <v>2</v>
      </c>
      <c r="AA3" s="332" t="n">
        <v>3</v>
      </c>
      <c r="AB3" s="332" t="n">
        <v>4</v>
      </c>
      <c r="AC3" s="333" t="n">
        <v>1</v>
      </c>
      <c r="AD3" s="332" t="n">
        <v>2</v>
      </c>
      <c r="AE3" s="332" t="n">
        <v>3</v>
      </c>
      <c r="AF3" s="332" t="n">
        <v>4</v>
      </c>
      <c r="AG3" s="332" t="n">
        <v>1</v>
      </c>
      <c r="AH3" s="332" t="n">
        <v>2</v>
      </c>
      <c r="AI3" s="332" t="n">
        <v>3</v>
      </c>
      <c r="AJ3" s="332" t="n">
        <v>4</v>
      </c>
      <c r="AK3" s="333" t="n">
        <v>1</v>
      </c>
      <c r="AL3" s="332" t="n">
        <v>2</v>
      </c>
      <c r="AM3" s="332" t="n">
        <v>3</v>
      </c>
      <c r="AN3" s="332" t="n">
        <v>4</v>
      </c>
      <c r="AO3" s="332" t="n">
        <v>1</v>
      </c>
      <c r="AP3" s="332" t="n">
        <v>2</v>
      </c>
      <c r="AQ3" s="332" t="n">
        <v>3</v>
      </c>
      <c r="AR3" s="332" t="n">
        <v>4</v>
      </c>
      <c r="AS3" s="333" t="n">
        <v>1</v>
      </c>
      <c r="AT3" s="332" t="n">
        <v>2</v>
      </c>
      <c r="AU3" s="332" t="n">
        <v>3</v>
      </c>
      <c r="AV3" s="332" t="n">
        <v>4</v>
      </c>
      <c r="AW3" s="332" t="n">
        <v>1</v>
      </c>
      <c r="AX3" s="332" t="n">
        <v>2</v>
      </c>
      <c r="AY3" s="332" t="n">
        <v>3</v>
      </c>
      <c r="AZ3" s="332" t="n">
        <v>4</v>
      </c>
      <c r="BA3" s="333" t="n">
        <v>1</v>
      </c>
      <c r="BB3" s="332" t="n">
        <v>2</v>
      </c>
      <c r="BC3" s="332" t="n">
        <v>3</v>
      </c>
      <c r="BD3" s="332" t="n">
        <v>4</v>
      </c>
      <c r="BE3" s="332" t="n">
        <v>1</v>
      </c>
      <c r="BF3" s="332" t="n">
        <v>2</v>
      </c>
      <c r="BG3" s="332" t="n">
        <v>3</v>
      </c>
      <c r="BH3" s="332" t="n">
        <v>4</v>
      </c>
      <c r="BI3" s="333" t="n">
        <v>1</v>
      </c>
      <c r="BJ3" s="332" t="n">
        <v>2</v>
      </c>
      <c r="BK3" s="332" t="n">
        <v>3</v>
      </c>
      <c r="BL3" s="332" t="n">
        <v>4</v>
      </c>
      <c r="BM3" s="332" t="n">
        <v>1</v>
      </c>
      <c r="BN3" s="332" t="n">
        <v>2</v>
      </c>
      <c r="BO3" s="332" t="n">
        <v>3</v>
      </c>
      <c r="BP3" s="332" t="n">
        <v>4</v>
      </c>
      <c r="BQ3" s="334" t="n">
        <v>1</v>
      </c>
      <c r="BR3" s="334" t="n">
        <v>2</v>
      </c>
      <c r="BS3" s="334" t="n">
        <v>3</v>
      </c>
      <c r="BT3" s="334" t="n">
        <v>4</v>
      </c>
      <c r="BU3" s="334" t="n">
        <v>1</v>
      </c>
      <c r="BV3" s="334" t="n">
        <v>2</v>
      </c>
      <c r="BW3" s="334" t="n">
        <v>3</v>
      </c>
      <c r="BX3" s="217" t="n">
        <v>4</v>
      </c>
      <c r="BY3" s="332" t="n">
        <v>1</v>
      </c>
      <c r="BZ3" s="334" t="n">
        <v>2</v>
      </c>
      <c r="CA3" s="334" t="n">
        <v>3</v>
      </c>
      <c r="CB3" s="334" t="n">
        <v>4</v>
      </c>
      <c r="CC3" s="334" t="n">
        <v>1</v>
      </c>
      <c r="CD3" s="334" t="n">
        <v>2</v>
      </c>
      <c r="CE3" s="334" t="n">
        <v>3</v>
      </c>
      <c r="CF3" s="334" t="n">
        <v>4</v>
      </c>
      <c r="CG3" s="334" t="n">
        <v>1</v>
      </c>
      <c r="CH3" s="334" t="n">
        <v>2</v>
      </c>
      <c r="CI3" s="334" t="n">
        <v>3</v>
      </c>
      <c r="CJ3" s="334" t="n">
        <v>4</v>
      </c>
      <c r="CK3" s="334" t="n">
        <v>1</v>
      </c>
      <c r="CL3" s="334" t="n">
        <v>2</v>
      </c>
      <c r="CM3" s="334" t="n">
        <v>3</v>
      </c>
      <c r="CN3" s="334" t="n">
        <v>4</v>
      </c>
      <c r="CO3" s="334" t="n">
        <v>1</v>
      </c>
      <c r="CP3" s="334" t="n">
        <v>2</v>
      </c>
      <c r="CQ3" s="334" t="n">
        <v>3</v>
      </c>
      <c r="CR3" s="334" t="n">
        <v>4</v>
      </c>
      <c r="CS3" s="334" t="n">
        <v>1</v>
      </c>
      <c r="CT3" s="334" t="n">
        <v>2</v>
      </c>
      <c r="CU3" s="334" t="n">
        <v>3</v>
      </c>
      <c r="CV3" s="334" t="n">
        <v>4</v>
      </c>
      <c r="CW3" s="334" t="n">
        <v>1</v>
      </c>
      <c r="CX3" s="334" t="n">
        <v>2</v>
      </c>
      <c r="CY3" s="334" t="n">
        <v>3</v>
      </c>
      <c r="CZ3" s="334" t="n">
        <v>4</v>
      </c>
      <c r="DA3" s="334" t="n">
        <v>1</v>
      </c>
      <c r="DB3" s="334" t="n">
        <v>2</v>
      </c>
      <c r="DC3" s="334" t="n">
        <v>3</v>
      </c>
      <c r="DD3" s="334" t="n">
        <v>4</v>
      </c>
      <c r="DE3" s="334" t="n">
        <v>1</v>
      </c>
      <c r="DF3" s="334" t="n">
        <v>2</v>
      </c>
      <c r="DG3" s="334" t="n">
        <v>3</v>
      </c>
      <c r="DH3" s="334" t="n">
        <v>4</v>
      </c>
      <c r="DI3" s="334" t="n">
        <v>1</v>
      </c>
      <c r="DJ3" s="334" t="n">
        <v>2</v>
      </c>
      <c r="DK3" s="334" t="n">
        <v>3</v>
      </c>
      <c r="DL3" s="334" t="n">
        <v>4</v>
      </c>
    </row>
    <row r="4" ht="30" customHeight="1">
      <c r="B4" s="367" t="s">
        <v>177</v>
      </c>
      <c r="C4" s="7" t="s">
        <v>178</v>
      </c>
      <c r="D4" s="46" t="s">
        <v>179</v>
      </c>
      <c r="E4" s="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86"/>
      <c r="R4" s="86"/>
      <c r="S4" s="86"/>
      <c r="T4" s="86"/>
      <c r="U4" s="86"/>
      <c r="V4" s="86"/>
      <c r="W4" s="207"/>
      <c r="X4" s="50"/>
      <c r="Y4" s="50"/>
      <c r="Z4" s="207"/>
      <c r="AA4" s="207"/>
      <c r="AB4" s="470" t="s">
        <v>180</v>
      </c>
      <c r="AC4" s="207"/>
      <c r="AD4" s="207"/>
      <c r="AE4" s="50"/>
      <c r="AF4" s="50"/>
      <c r="AG4" s="50"/>
      <c r="AH4" s="50"/>
      <c r="AI4" s="50"/>
      <c r="AJ4" s="50"/>
      <c r="AK4" s="50"/>
      <c r="AL4" s="50"/>
      <c r="AM4" s="57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89"/>
      <c r="BB4" s="89"/>
      <c r="BC4" s="89"/>
      <c r="BD4" s="8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0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5"/>
    </row>
    <row r="5" ht="30" customHeight="1">
      <c r="B5" s="367"/>
      <c r="C5" s="193" t="s">
        <v>181</v>
      </c>
      <c r="D5" s="199" t="s">
        <v>182</v>
      </c>
      <c r="E5" s="9"/>
      <c r="F5" s="50"/>
      <c r="G5" s="50"/>
      <c r="H5" s="50"/>
      <c r="I5" s="50"/>
      <c r="J5" s="50"/>
      <c r="K5" s="50"/>
      <c r="L5" s="50"/>
      <c r="M5" s="86"/>
      <c r="N5" s="86"/>
      <c r="O5" s="86"/>
      <c r="P5" s="80"/>
      <c r="Q5" s="86"/>
      <c r="R5" s="86"/>
      <c r="S5" s="86"/>
      <c r="T5" s="86"/>
      <c r="U5" s="70"/>
      <c r="V5" s="86"/>
      <c r="W5" s="86"/>
      <c r="X5" s="86"/>
      <c r="Y5" s="86"/>
      <c r="Z5" s="86"/>
      <c r="AA5" s="86"/>
      <c r="AB5" s="86"/>
      <c r="AC5" s="86"/>
      <c r="AD5" s="86"/>
      <c r="AE5" s="86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46"/>
      <c r="AT5" s="245"/>
      <c r="AU5" s="243"/>
      <c r="AV5" s="243"/>
      <c r="AW5" s="243"/>
      <c r="AX5" s="46"/>
      <c r="AY5" s="46"/>
      <c r="AZ5" s="46"/>
      <c r="BA5" s="46"/>
      <c r="BB5" s="243"/>
      <c r="BC5" s="206"/>
      <c r="BD5" s="8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0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5"/>
    </row>
    <row r="6" ht="16.5" customHeight="1">
      <c r="B6" s="367"/>
      <c r="C6" s="208" t="s">
        <v>183</v>
      </c>
      <c r="D6" s="200" t="s">
        <v>184</v>
      </c>
      <c r="E6" s="9"/>
      <c r="F6" s="50"/>
      <c r="G6" s="50"/>
      <c r="H6" s="50"/>
      <c r="I6" s="50"/>
      <c r="J6" s="50"/>
      <c r="K6" s="50"/>
      <c r="L6" s="50"/>
      <c r="M6" s="86"/>
      <c r="N6" s="86"/>
      <c r="O6" s="86"/>
      <c r="P6" s="80"/>
      <c r="Q6" s="86"/>
      <c r="R6" s="86"/>
      <c r="S6" s="86"/>
      <c r="T6" s="86"/>
      <c r="U6" s="70"/>
      <c r="V6" s="86"/>
      <c r="W6" s="86"/>
      <c r="X6" s="86"/>
      <c r="Y6" s="86"/>
      <c r="Z6" s="86"/>
      <c r="AA6" s="86"/>
      <c r="AB6" s="86"/>
      <c r="AC6" s="86"/>
      <c r="AD6" s="86"/>
      <c r="AE6" s="86"/>
      <c r="AF6" s="50"/>
      <c r="AG6" s="50"/>
      <c r="AH6" s="50"/>
      <c r="AI6" s="50"/>
      <c r="AJ6" s="50"/>
      <c r="AK6" s="50"/>
      <c r="AL6" s="50"/>
      <c r="AM6" s="57"/>
      <c r="AN6" s="50"/>
      <c r="AO6" s="50"/>
      <c r="AP6" s="23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0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5"/>
    </row>
    <row r="7" ht="30" customHeight="1">
      <c r="B7" s="367"/>
      <c r="C7" s="209" t="s">
        <v>185</v>
      </c>
      <c r="D7" s="204" t="s">
        <v>184</v>
      </c>
      <c r="E7" s="19"/>
      <c r="F7" s="46"/>
      <c r="G7" s="50"/>
      <c r="H7" s="50"/>
      <c r="I7" s="50"/>
      <c r="J7" s="50"/>
      <c r="K7" s="50"/>
      <c r="L7" s="50"/>
      <c r="M7" s="86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89"/>
      <c r="BB7" s="89"/>
      <c r="BC7" s="89"/>
      <c r="BD7" s="89"/>
      <c r="BE7" s="119"/>
      <c r="BF7" s="119"/>
      <c r="BG7" s="119"/>
      <c r="BH7" s="119"/>
      <c r="BI7" s="119"/>
      <c r="BJ7" s="226" t="s">
        <v>185</v>
      </c>
      <c r="BK7" s="226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0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</row>
    <row r="8" ht="30" customHeight="1">
      <c r="B8" s="367"/>
      <c r="C8" s="209" t="s">
        <v>186</v>
      </c>
      <c r="D8" s="204" t="s">
        <v>182</v>
      </c>
      <c r="E8" s="19"/>
      <c r="F8" s="46"/>
      <c r="G8" s="50"/>
      <c r="H8" s="50"/>
      <c r="I8" s="50"/>
      <c r="J8" s="50"/>
      <c r="K8" s="50"/>
      <c r="L8" s="50"/>
      <c r="M8" s="86"/>
      <c r="N8" s="86"/>
      <c r="O8" s="189"/>
      <c r="P8" s="190"/>
      <c r="Q8" s="189"/>
      <c r="R8" s="189"/>
      <c r="S8" s="50"/>
      <c r="T8" s="50"/>
      <c r="U8" s="9"/>
      <c r="V8" s="50"/>
      <c r="W8" s="50"/>
      <c r="X8" s="46"/>
      <c r="Y8" s="46"/>
      <c r="Z8" s="207"/>
      <c r="AA8" s="207"/>
      <c r="AB8" s="46"/>
      <c r="AC8" s="50"/>
      <c r="AD8" s="207"/>
      <c r="AE8" s="46"/>
      <c r="AF8" s="50"/>
      <c r="AG8" s="50"/>
      <c r="AH8" s="50"/>
      <c r="AI8" s="50"/>
      <c r="AJ8" s="50"/>
      <c r="AK8" s="50"/>
      <c r="AL8" s="207"/>
      <c r="AM8" s="207"/>
      <c r="AN8" s="207"/>
      <c r="AO8" s="207"/>
      <c r="AP8" s="207"/>
      <c r="AQ8" s="207"/>
      <c r="AR8" s="207"/>
      <c r="AS8" s="46"/>
      <c r="AT8" s="207"/>
      <c r="AU8" s="46"/>
      <c r="AV8" s="46"/>
      <c r="AW8" s="46"/>
      <c r="AX8" s="46"/>
      <c r="AY8" s="46"/>
      <c r="AZ8" s="46"/>
      <c r="BA8" s="207"/>
      <c r="BB8" s="206"/>
      <c r="BC8" s="89"/>
      <c r="BD8" s="8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0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</row>
    <row r="9" ht="30" customHeight="1">
      <c r="B9" s="367"/>
      <c r="C9" s="208" t="s">
        <v>187</v>
      </c>
      <c r="D9" s="103" t="s">
        <v>182</v>
      </c>
      <c r="E9" s="9"/>
      <c r="F9" s="50"/>
      <c r="G9" s="50"/>
      <c r="H9" s="50"/>
      <c r="I9" s="50"/>
      <c r="J9" s="50"/>
      <c r="K9" s="50"/>
      <c r="L9" s="50"/>
      <c r="M9" s="86"/>
      <c r="N9" s="86"/>
      <c r="O9" s="86"/>
      <c r="P9" s="80"/>
      <c r="Q9" s="86"/>
      <c r="R9" s="86"/>
      <c r="S9" s="86"/>
      <c r="T9" s="86"/>
      <c r="U9" s="70"/>
      <c r="V9" s="86"/>
      <c r="W9" s="86"/>
      <c r="X9" s="86"/>
      <c r="Y9" s="86"/>
      <c r="Z9" s="86"/>
      <c r="AA9" s="86"/>
      <c r="AB9" s="86"/>
      <c r="AC9" s="86"/>
      <c r="AD9" s="86"/>
      <c r="AE9" s="86"/>
      <c r="AF9" s="50"/>
      <c r="AG9" s="50"/>
      <c r="AH9" s="50"/>
      <c r="AI9" s="50"/>
      <c r="AJ9" s="50"/>
      <c r="AK9" s="50"/>
      <c r="AL9" s="50"/>
      <c r="AM9" s="50"/>
      <c r="AN9" s="50"/>
      <c r="AO9" s="207"/>
      <c r="AP9" s="207"/>
      <c r="AQ9" s="207"/>
      <c r="AR9" s="207"/>
      <c r="AS9" s="46"/>
      <c r="AT9" s="46"/>
      <c r="AU9" s="243"/>
      <c r="AV9" s="241"/>
      <c r="AW9" s="243"/>
      <c r="AX9" s="46"/>
      <c r="AY9" s="46"/>
      <c r="AZ9" s="46"/>
      <c r="BA9" s="46"/>
      <c r="BB9" s="206"/>
      <c r="BC9" s="89"/>
      <c r="BD9" s="8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0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5"/>
    </row>
    <row r="10" ht="30" customHeight="1">
      <c r="B10" s="367"/>
      <c r="C10" s="209" t="s">
        <v>188</v>
      </c>
      <c r="D10" s="201" t="s">
        <v>182</v>
      </c>
      <c r="E10" s="19"/>
      <c r="F10" s="46"/>
      <c r="G10" s="50"/>
      <c r="H10" s="50"/>
      <c r="I10" s="50"/>
      <c r="J10" s="50"/>
      <c r="K10" s="50"/>
      <c r="L10" s="57"/>
      <c r="M10" s="50"/>
      <c r="N10" s="50"/>
      <c r="O10" s="189"/>
      <c r="P10" s="190"/>
      <c r="Q10" s="189"/>
      <c r="R10" s="189"/>
      <c r="S10" s="50"/>
      <c r="T10" s="50"/>
      <c r="U10" s="50"/>
      <c r="V10" s="46"/>
      <c r="W10" s="207"/>
      <c r="X10" s="207"/>
      <c r="Y10" s="207"/>
      <c r="Z10" s="207"/>
      <c r="AA10" s="207"/>
      <c r="AB10" s="207"/>
      <c r="AC10" s="207"/>
      <c r="AD10" s="207"/>
      <c r="AE10" s="46"/>
      <c r="AF10" s="50"/>
      <c r="AG10" s="50"/>
      <c r="AH10" s="50"/>
      <c r="AI10" s="50"/>
      <c r="AJ10" s="50"/>
      <c r="AK10" s="50"/>
      <c r="AL10" s="50"/>
      <c r="AM10" s="50"/>
      <c r="AN10" s="50"/>
      <c r="AO10" s="207"/>
      <c r="AP10" s="207"/>
      <c r="AQ10" s="207"/>
      <c r="AR10" s="207"/>
      <c r="AS10" s="239"/>
      <c r="AT10" s="207"/>
      <c r="AU10" s="244"/>
      <c r="AV10" s="241"/>
      <c r="AW10" s="241"/>
      <c r="AX10" s="46"/>
      <c r="AY10" s="46"/>
      <c r="AZ10" s="46"/>
      <c r="BA10" s="236"/>
      <c r="BB10" s="206"/>
      <c r="BC10" s="89"/>
      <c r="BD10" s="8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0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</row>
    <row r="11" ht="28.5" customHeight="1">
      <c r="B11" s="367"/>
      <c r="C11" s="208" t="s">
        <v>189</v>
      </c>
      <c r="D11" s="200" t="s">
        <v>182</v>
      </c>
      <c r="E11" s="9"/>
      <c r="F11" s="50"/>
      <c r="G11" s="50"/>
      <c r="H11" s="50"/>
      <c r="I11" s="50"/>
      <c r="J11" s="50"/>
      <c r="K11" s="50"/>
      <c r="L11" s="50"/>
      <c r="M11" s="86"/>
      <c r="N11" s="86"/>
      <c r="O11" s="86"/>
      <c r="P11" s="80"/>
      <c r="Q11" s="86"/>
      <c r="R11" s="86"/>
      <c r="S11" s="86"/>
      <c r="T11" s="86"/>
      <c r="U11" s="70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50"/>
      <c r="AG11" s="50"/>
      <c r="AH11" s="50"/>
      <c r="AI11" s="50"/>
      <c r="AJ11" s="50"/>
      <c r="AK11" s="50"/>
      <c r="AL11" s="50"/>
      <c r="AM11" s="50"/>
      <c r="AN11" s="50"/>
      <c r="AO11" s="207"/>
      <c r="AP11" s="239"/>
      <c r="AQ11" s="241"/>
      <c r="AR11" s="207"/>
      <c r="AS11" s="207"/>
      <c r="AT11" s="239"/>
      <c r="AU11" s="242"/>
      <c r="AV11" s="241"/>
      <c r="AW11" s="206"/>
      <c r="AX11" s="50"/>
      <c r="AY11" s="50"/>
      <c r="AZ11" s="50"/>
      <c r="BA11" s="89"/>
      <c r="BB11" s="89"/>
      <c r="BC11" s="89"/>
      <c r="BD11" s="8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0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5"/>
    </row>
    <row r="12" ht="16.5" customHeight="1">
      <c r="B12" s="367"/>
      <c r="C12" s="193" t="s">
        <v>190</v>
      </c>
      <c r="D12" s="200" t="s">
        <v>182</v>
      </c>
      <c r="E12" s="9"/>
      <c r="F12" s="50"/>
      <c r="G12" s="50"/>
      <c r="H12" s="50"/>
      <c r="I12" s="50"/>
      <c r="J12" s="50"/>
      <c r="K12" s="50"/>
      <c r="L12" s="50"/>
      <c r="M12" s="86"/>
      <c r="N12" s="86"/>
      <c r="O12" s="86"/>
      <c r="P12" s="80"/>
      <c r="Q12" s="86"/>
      <c r="R12" s="86"/>
      <c r="S12" s="86"/>
      <c r="T12" s="86"/>
      <c r="U12" s="70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50"/>
      <c r="AG12" s="50"/>
      <c r="AH12" s="50"/>
      <c r="AI12" s="50"/>
      <c r="AJ12" s="50"/>
      <c r="AK12" s="50"/>
      <c r="AL12" s="50"/>
      <c r="AM12" s="50"/>
      <c r="AN12" s="50"/>
      <c r="AO12" s="238"/>
      <c r="AP12" s="239"/>
      <c r="AQ12" s="241"/>
      <c r="AR12" s="238"/>
      <c r="AS12" s="238"/>
      <c r="AT12" s="111"/>
      <c r="AU12" s="111"/>
      <c r="AV12" s="238"/>
      <c r="AW12" s="111"/>
      <c r="AX12" s="111"/>
      <c r="AY12" s="111"/>
      <c r="AZ12" s="111"/>
      <c r="BA12" s="206"/>
      <c r="BB12" s="89"/>
      <c r="BC12" s="89"/>
      <c r="BD12" s="8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0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5"/>
    </row>
    <row r="13" ht="30" customHeight="1">
      <c r="B13" s="367"/>
      <c r="C13" s="193" t="s">
        <v>191</v>
      </c>
      <c r="D13" s="200" t="s">
        <v>182</v>
      </c>
      <c r="E13" s="9"/>
      <c r="F13" s="50"/>
      <c r="G13" s="50"/>
      <c r="H13" s="50"/>
      <c r="I13" s="50"/>
      <c r="J13" s="50"/>
      <c r="K13" s="50"/>
      <c r="L13" s="50"/>
      <c r="M13" s="86"/>
      <c r="N13" s="86"/>
      <c r="O13" s="86"/>
      <c r="P13" s="80"/>
      <c r="Q13" s="86"/>
      <c r="R13" s="86"/>
      <c r="S13" s="86"/>
      <c r="T13" s="86"/>
      <c r="U13" s="70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50"/>
      <c r="AG13" s="50"/>
      <c r="AH13" s="50"/>
      <c r="AI13" s="50"/>
      <c r="AJ13" s="206"/>
      <c r="AK13" s="50"/>
      <c r="AL13" s="50"/>
      <c r="AM13" s="57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89"/>
      <c r="BB13" s="89"/>
      <c r="BC13" s="89"/>
      <c r="BD13" s="8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0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5"/>
    </row>
    <row r="14" ht="16.5" customHeight="1">
      <c r="B14" s="367"/>
      <c r="C14" s="208" t="s">
        <v>192</v>
      </c>
      <c r="D14" s="200" t="s">
        <v>182</v>
      </c>
      <c r="E14" s="9"/>
      <c r="F14" s="50"/>
      <c r="G14" s="50"/>
      <c r="H14" s="50"/>
      <c r="I14" s="50"/>
      <c r="J14" s="50"/>
      <c r="K14" s="50"/>
      <c r="L14" s="50"/>
      <c r="M14" s="86"/>
      <c r="N14" s="86"/>
      <c r="O14" s="86"/>
      <c r="P14" s="80"/>
      <c r="Q14" s="86"/>
      <c r="R14" s="86"/>
      <c r="S14" s="86"/>
      <c r="T14" s="86"/>
      <c r="U14" s="70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07"/>
      <c r="AS14" s="207"/>
      <c r="AT14" s="207"/>
      <c r="AU14" s="50"/>
      <c r="AV14" s="207"/>
      <c r="AW14" s="206"/>
      <c r="AX14" s="50"/>
      <c r="AY14" s="50"/>
      <c r="AZ14" s="50"/>
      <c r="BA14" s="89"/>
      <c r="BB14" s="89"/>
      <c r="BC14" s="89"/>
      <c r="BD14" s="8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0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5"/>
    </row>
    <row r="15" ht="30" customHeight="1">
      <c r="B15" s="367"/>
      <c r="C15" s="208" t="s">
        <v>193</v>
      </c>
      <c r="D15" s="200" t="s">
        <v>182</v>
      </c>
      <c r="E15" s="9"/>
      <c r="F15" s="50"/>
      <c r="G15" s="50"/>
      <c r="H15" s="50"/>
      <c r="I15" s="50"/>
      <c r="J15" s="50"/>
      <c r="K15" s="50"/>
      <c r="L15" s="50"/>
      <c r="M15" s="86"/>
      <c r="N15" s="86"/>
      <c r="O15" s="86"/>
      <c r="P15" s="80"/>
      <c r="Q15" s="86"/>
      <c r="R15" s="86"/>
      <c r="S15" s="86"/>
      <c r="T15" s="86"/>
      <c r="U15" s="70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38"/>
      <c r="AS15" s="207"/>
      <c r="AT15" s="207"/>
      <c r="AU15" s="50"/>
      <c r="AV15" s="206"/>
      <c r="AW15" s="50"/>
      <c r="AX15" s="50"/>
      <c r="AY15" s="50"/>
      <c r="AZ15" s="50"/>
      <c r="BA15" s="89"/>
      <c r="BB15" s="89"/>
      <c r="BC15" s="89"/>
      <c r="BD15" s="8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0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5"/>
    </row>
    <row r="16" ht="16.5" customHeight="1">
      <c r="B16" s="367"/>
      <c r="C16" s="208" t="s">
        <v>194</v>
      </c>
      <c r="D16" s="200" t="s">
        <v>182</v>
      </c>
      <c r="E16" s="9"/>
      <c r="F16" s="50"/>
      <c r="G16" s="50"/>
      <c r="H16" s="50"/>
      <c r="I16" s="50"/>
      <c r="J16" s="50"/>
      <c r="K16" s="50"/>
      <c r="L16" s="50"/>
      <c r="M16" s="57"/>
      <c r="N16" s="86"/>
      <c r="O16" s="86"/>
      <c r="P16" s="80"/>
      <c r="Q16" s="86"/>
      <c r="R16" s="86"/>
      <c r="S16" s="86"/>
      <c r="T16" s="86"/>
      <c r="U16" s="70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50"/>
      <c r="AG16" s="50"/>
      <c r="AH16" s="50"/>
      <c r="AI16" s="50"/>
      <c r="AJ16" s="50"/>
      <c r="AK16" s="50"/>
      <c r="AL16" s="50"/>
      <c r="AM16" s="50"/>
      <c r="AN16" s="238"/>
      <c r="AO16" s="207"/>
      <c r="AP16" s="207"/>
      <c r="AQ16" s="46"/>
      <c r="AR16" s="207"/>
      <c r="AS16" s="207"/>
      <c r="AT16" s="46"/>
      <c r="AU16" s="207"/>
      <c r="AV16" s="238"/>
      <c r="AW16" s="111"/>
      <c r="AX16" s="111"/>
      <c r="AY16" s="111"/>
      <c r="AZ16" s="111"/>
      <c r="BA16" s="111"/>
      <c r="BB16" s="206"/>
      <c r="BC16" s="89"/>
      <c r="BD16" s="8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0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5"/>
    </row>
    <row r="17" ht="30" customHeight="1">
      <c r="B17" s="367"/>
      <c r="C17" s="209" t="s">
        <v>195</v>
      </c>
      <c r="D17" s="202" t="s">
        <v>182</v>
      </c>
      <c r="E17" s="19"/>
      <c r="F17" s="46"/>
      <c r="G17" s="50"/>
      <c r="H17" s="50"/>
      <c r="I17" s="50"/>
      <c r="J17" s="50"/>
      <c r="K17" s="50"/>
      <c r="L17" s="50"/>
      <c r="M17" s="33"/>
      <c r="N17" s="50"/>
      <c r="O17" s="207"/>
      <c r="P17" s="207"/>
      <c r="Q17" s="207"/>
      <c r="R17" s="207"/>
      <c r="S17" s="70"/>
      <c r="T17" s="86"/>
      <c r="U17" s="70"/>
      <c r="V17" s="86"/>
      <c r="W17" s="86"/>
      <c r="X17" s="50"/>
      <c r="Y17" s="50"/>
      <c r="Z17" s="50"/>
      <c r="AA17" s="207"/>
      <c r="AB17" s="207"/>
      <c r="AC17" s="207"/>
      <c r="AD17" s="207"/>
      <c r="AE17" s="50"/>
      <c r="AF17" s="50"/>
      <c r="AG17" s="50"/>
      <c r="AH17" s="50"/>
      <c r="AI17" s="50"/>
      <c r="AJ17" s="50"/>
      <c r="AK17" s="50"/>
      <c r="AL17" s="50"/>
      <c r="AM17" s="57"/>
      <c r="AN17" s="57"/>
      <c r="AO17" s="50"/>
      <c r="AP17" s="50"/>
      <c r="AQ17" s="50"/>
      <c r="AR17" s="50"/>
      <c r="AS17" s="236"/>
      <c r="AT17" s="238"/>
      <c r="AU17" s="111"/>
      <c r="AV17" s="111"/>
      <c r="AW17" s="238"/>
      <c r="AX17" s="111"/>
      <c r="AY17" s="111"/>
      <c r="AZ17" s="111"/>
      <c r="BA17" s="111"/>
      <c r="BB17" s="206"/>
      <c r="BC17" s="89"/>
      <c r="BD17" s="8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0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</row>
    <row r="18" ht="30" customHeight="1">
      <c r="B18" s="367"/>
      <c r="C18" s="184" t="s">
        <v>196</v>
      </c>
      <c r="D18" s="331" t="s">
        <v>197</v>
      </c>
      <c r="E18" s="19"/>
      <c r="F18" s="46"/>
      <c r="G18" s="50"/>
      <c r="H18" s="50"/>
      <c r="I18" s="50"/>
      <c r="J18" s="50"/>
      <c r="K18" s="50"/>
      <c r="L18" s="50"/>
      <c r="M18" s="57"/>
      <c r="N18" s="50"/>
      <c r="O18" s="207"/>
      <c r="P18" s="207"/>
      <c r="Q18" s="207"/>
      <c r="R18" s="207"/>
      <c r="S18" s="70"/>
      <c r="T18" s="86"/>
      <c r="U18" s="70"/>
      <c r="V18" s="86"/>
      <c r="W18" s="86"/>
      <c r="X18" s="50"/>
      <c r="Y18" s="50"/>
      <c r="Z18" s="50"/>
      <c r="AA18" s="207"/>
      <c r="AB18" s="50"/>
      <c r="AC18" s="50"/>
      <c r="AD18" s="207"/>
      <c r="AE18" s="50"/>
      <c r="AF18" s="50"/>
      <c r="AG18" s="50"/>
      <c r="AH18" s="50"/>
      <c r="AI18" s="50"/>
      <c r="AJ18" s="50"/>
      <c r="AK18" s="50"/>
      <c r="AL18" s="50"/>
      <c r="AM18" s="57"/>
      <c r="AN18" s="57"/>
      <c r="AO18" s="50"/>
      <c r="AP18" s="50"/>
      <c r="AQ18" s="50"/>
      <c r="AR18" s="50"/>
      <c r="AS18" s="238"/>
      <c r="AT18" s="238"/>
      <c r="AU18" s="111"/>
      <c r="AV18" s="111"/>
      <c r="AW18" s="238"/>
      <c r="AX18" s="111"/>
      <c r="AY18" s="111"/>
      <c r="AZ18" s="111"/>
      <c r="BA18" s="111"/>
      <c r="BB18" s="243"/>
      <c r="BC18" s="206"/>
      <c r="BD18" s="8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0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</row>
    <row r="19" ht="30" customHeight="1">
      <c r="B19" s="367"/>
      <c r="C19" s="209" t="s">
        <v>198</v>
      </c>
      <c r="D19" s="331" t="s">
        <v>197</v>
      </c>
      <c r="E19" s="19"/>
      <c r="F19" s="46"/>
      <c r="G19" s="50"/>
      <c r="H19" s="50"/>
      <c r="I19" s="50"/>
      <c r="J19" s="50"/>
      <c r="K19" s="50"/>
      <c r="L19" s="50"/>
      <c r="M19" s="57"/>
      <c r="N19" s="50"/>
      <c r="O19" s="46"/>
      <c r="P19" s="46"/>
      <c r="Q19" s="46"/>
      <c r="R19" s="46"/>
      <c r="S19" s="70"/>
      <c r="T19" s="86"/>
      <c r="U19" s="70"/>
      <c r="V19" s="86"/>
      <c r="W19" s="86"/>
      <c r="X19" s="86"/>
      <c r="Y19" s="50"/>
      <c r="Z19" s="207"/>
      <c r="AA19" s="207"/>
      <c r="AB19" s="50"/>
      <c r="AC19" s="207"/>
      <c r="AD19" s="207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238"/>
      <c r="AP19" s="238"/>
      <c r="AQ19" s="111"/>
      <c r="AR19" s="111"/>
      <c r="AS19" s="111"/>
      <c r="AT19" s="238"/>
      <c r="AU19" s="111"/>
      <c r="AV19" s="111"/>
      <c r="AW19" s="111"/>
      <c r="AX19" s="111"/>
      <c r="AY19" s="111"/>
      <c r="AZ19" s="111"/>
      <c r="BA19" s="111"/>
      <c r="BB19" s="206"/>
      <c r="BC19" s="89"/>
      <c r="BD19" s="8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0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</row>
    <row r="20" ht="30" customHeight="1">
      <c r="B20" s="367"/>
      <c r="C20" s="184" t="s">
        <v>199</v>
      </c>
      <c r="D20" s="331" t="s">
        <v>197</v>
      </c>
      <c r="E20" s="19"/>
      <c r="F20" s="46"/>
      <c r="G20" s="50"/>
      <c r="H20" s="50"/>
      <c r="I20" s="50"/>
      <c r="J20" s="50"/>
      <c r="K20" s="50"/>
      <c r="L20" s="50"/>
      <c r="M20" s="57"/>
      <c r="N20" s="50"/>
      <c r="O20" s="46"/>
      <c r="P20" s="46"/>
      <c r="Q20" s="46"/>
      <c r="R20" s="46"/>
      <c r="S20" s="70"/>
      <c r="T20" s="50"/>
      <c r="U20" s="50"/>
      <c r="V20" s="50"/>
      <c r="W20" s="50"/>
      <c r="X20" s="50"/>
      <c r="Y20" s="50"/>
      <c r="Z20" s="207"/>
      <c r="AA20" s="207"/>
      <c r="AB20" s="207"/>
      <c r="AC20" s="50"/>
      <c r="AD20" s="207"/>
      <c r="AE20" s="50"/>
      <c r="AF20" s="50"/>
      <c r="AG20" s="50"/>
      <c r="AH20" s="50"/>
      <c r="AI20" s="50"/>
      <c r="AJ20" s="50"/>
      <c r="AK20" s="50"/>
      <c r="AL20" s="50"/>
      <c r="AM20" s="57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238"/>
      <c r="AY20" s="238"/>
      <c r="AZ20" s="238"/>
      <c r="BA20" s="238"/>
      <c r="BB20" s="243"/>
      <c r="BC20" s="206"/>
      <c r="BD20" s="8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0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  <c r="DF20" s="119"/>
      <c r="DG20" s="119"/>
      <c r="DH20" s="119"/>
      <c r="DI20" s="119"/>
      <c r="DJ20" s="119"/>
      <c r="DK20" s="119"/>
      <c r="DL20" s="119"/>
    </row>
    <row r="21" ht="30" customHeight="1">
      <c r="B21" s="367"/>
      <c r="C21" s="184" t="s">
        <v>200</v>
      </c>
      <c r="D21" s="331" t="s">
        <v>201</v>
      </c>
      <c r="E21" s="19"/>
      <c r="F21" s="46"/>
      <c r="G21" s="50"/>
      <c r="H21" s="50"/>
      <c r="I21" s="50"/>
      <c r="J21" s="50"/>
      <c r="K21" s="50"/>
      <c r="L21" s="50"/>
      <c r="M21" s="57"/>
      <c r="N21" s="39"/>
      <c r="O21" s="39"/>
      <c r="P21" s="39"/>
      <c r="Q21" s="39"/>
      <c r="R21" s="51"/>
      <c r="S21" s="86"/>
      <c r="T21" s="86"/>
      <c r="U21" s="70"/>
      <c r="V21" s="86"/>
      <c r="W21" s="86"/>
      <c r="X21" s="50"/>
      <c r="Y21" s="50"/>
      <c r="Z21" s="50"/>
      <c r="AA21" s="207"/>
      <c r="AB21" s="207"/>
      <c r="AC21" s="50"/>
      <c r="AD21" s="50"/>
      <c r="AE21" s="50"/>
      <c r="AF21" s="50"/>
      <c r="AG21" s="50"/>
      <c r="AH21" s="50"/>
      <c r="AI21" s="50"/>
      <c r="AJ21" s="50"/>
      <c r="AK21" s="50"/>
      <c r="AL21" s="238"/>
      <c r="AM21" s="111"/>
      <c r="AN21" s="111"/>
      <c r="AO21" s="111"/>
      <c r="AP21" s="111"/>
      <c r="AQ21" s="111"/>
      <c r="AR21" s="111"/>
      <c r="AS21" s="111"/>
      <c r="AT21" s="111"/>
      <c r="AU21" s="111"/>
      <c r="AV21" s="206"/>
      <c r="AW21" s="50"/>
      <c r="AX21" s="50"/>
      <c r="AY21" s="50"/>
      <c r="AZ21" s="50"/>
      <c r="BA21" s="89"/>
      <c r="BB21" s="89"/>
      <c r="BC21" s="89"/>
      <c r="BD21" s="8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0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19"/>
      <c r="DL21" s="119"/>
    </row>
    <row r="22" ht="30" customHeight="1">
      <c r="B22" s="368"/>
      <c r="C22" s="210" t="s">
        <v>202</v>
      </c>
      <c r="D22" s="46" t="s">
        <v>203</v>
      </c>
      <c r="E22" s="19"/>
      <c r="F22" s="46"/>
      <c r="G22" s="50"/>
      <c r="H22" s="50"/>
      <c r="I22" s="50"/>
      <c r="J22" s="50"/>
      <c r="K22" s="50"/>
      <c r="L22" s="50"/>
      <c r="M22" s="57"/>
      <c r="N22" s="46"/>
      <c r="O22" s="46"/>
      <c r="P22" s="50"/>
      <c r="Q22" s="50"/>
      <c r="R22" s="53"/>
      <c r="S22" s="86"/>
      <c r="T22" s="86"/>
      <c r="U22" s="70"/>
      <c r="V22" s="86"/>
      <c r="W22" s="86"/>
      <c r="X22" s="86"/>
      <c r="Y22" s="86"/>
      <c r="Z22" s="86"/>
      <c r="AA22" s="50"/>
      <c r="AB22" s="207"/>
      <c r="AC22" s="207"/>
      <c r="AD22" s="207"/>
      <c r="AE22" s="50"/>
      <c r="AF22" s="50"/>
      <c r="AG22" s="50"/>
      <c r="AH22" s="50"/>
      <c r="AI22" s="50"/>
      <c r="AJ22" s="50"/>
      <c r="AK22" s="50"/>
      <c r="AL22" s="50"/>
      <c r="AM22" s="80"/>
      <c r="AN22" s="86"/>
      <c r="AO22" s="86"/>
      <c r="AP22" s="86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89"/>
      <c r="BB22" s="89"/>
      <c r="BC22" s="89"/>
      <c r="BD22" s="8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0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  <c r="DF22" s="119"/>
      <c r="DG22" s="119"/>
      <c r="DH22" s="119"/>
      <c r="DI22" s="119"/>
      <c r="DJ22" s="119"/>
      <c r="DK22" s="119"/>
      <c r="DL22" s="119"/>
    </row>
    <row r="23" ht="30" customHeight="1">
      <c r="B23" s="335"/>
      <c r="C23" s="211" t="s">
        <v>204</v>
      </c>
      <c r="D23" s="46" t="s">
        <v>205</v>
      </c>
      <c r="E23" s="19"/>
      <c r="F23" s="46"/>
      <c r="G23" s="50"/>
      <c r="H23" s="50"/>
      <c r="I23" s="50"/>
      <c r="J23" s="50"/>
      <c r="K23" s="50"/>
      <c r="L23" s="50"/>
      <c r="M23" s="57"/>
      <c r="N23" s="46"/>
      <c r="O23" s="46"/>
      <c r="P23" s="50"/>
      <c r="Q23" s="50"/>
      <c r="R23" s="53"/>
      <c r="S23" s="86"/>
      <c r="T23" s="86"/>
      <c r="U23" s="70"/>
      <c r="V23" s="86"/>
      <c r="W23" s="86"/>
      <c r="X23" s="80"/>
      <c r="Y23" s="86"/>
      <c r="Z23" s="86"/>
      <c r="AA23" s="70"/>
      <c r="AB23" s="207"/>
      <c r="AC23" s="185"/>
      <c r="AD23" s="185"/>
      <c r="AE23" s="185"/>
      <c r="AF23" s="185"/>
      <c r="AG23" s="185"/>
      <c r="AH23" s="185"/>
      <c r="AI23" s="185"/>
      <c r="AJ23" s="185"/>
      <c r="AK23" s="86"/>
      <c r="AL23" s="86"/>
      <c r="AM23" s="50"/>
      <c r="AN23" s="50"/>
      <c r="AO23" s="50"/>
      <c r="AP23" s="238"/>
      <c r="AQ23" s="50"/>
      <c r="AR23" s="238"/>
      <c r="AS23" s="111"/>
      <c r="AT23" s="111"/>
      <c r="AU23" s="111"/>
      <c r="AV23" s="238"/>
      <c r="AW23" s="111"/>
      <c r="AX23" s="111"/>
      <c r="AY23" s="111"/>
      <c r="AZ23" s="111"/>
      <c r="BA23" s="111"/>
      <c r="BB23" s="111"/>
      <c r="BC23" s="111"/>
      <c r="BD23" s="111"/>
      <c r="BE23" s="111"/>
      <c r="BF23" s="375"/>
      <c r="BG23" s="119"/>
      <c r="BH23" s="240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0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  <c r="DF23" s="119"/>
      <c r="DG23" s="119"/>
      <c r="DH23" s="119"/>
      <c r="DI23" s="119"/>
      <c r="DJ23" s="119"/>
      <c r="DK23" s="119"/>
      <c r="DL23" s="119"/>
    </row>
    <row r="24" ht="49.5" customHeight="1">
      <c r="B24" s="335"/>
      <c r="C24" s="204" t="s">
        <v>206</v>
      </c>
      <c r="D24" s="46" t="s">
        <v>207</v>
      </c>
      <c r="E24" s="19"/>
      <c r="F24" s="46"/>
      <c r="G24" s="50"/>
      <c r="H24" s="50"/>
      <c r="I24" s="50"/>
      <c r="J24" s="50"/>
      <c r="K24" s="50"/>
      <c r="L24" s="50"/>
      <c r="M24" s="57"/>
      <c r="N24" s="46"/>
      <c r="O24" s="46"/>
      <c r="P24" s="50"/>
      <c r="Q24" s="50"/>
      <c r="R24" s="50"/>
      <c r="S24" s="50"/>
      <c r="T24" s="50"/>
      <c r="U24" s="50"/>
      <c r="V24" s="50"/>
      <c r="W24" s="50"/>
      <c r="X24" s="57"/>
      <c r="Y24" s="50"/>
      <c r="Z24" s="50"/>
      <c r="AA24" s="70"/>
      <c r="AB24" s="207"/>
      <c r="AC24" s="207"/>
      <c r="AD24" s="207"/>
      <c r="AE24" s="207"/>
      <c r="AF24" s="207"/>
      <c r="AG24" s="207"/>
      <c r="AH24" s="207"/>
      <c r="AI24" s="207"/>
      <c r="AJ24" s="207"/>
      <c r="AK24" s="86"/>
      <c r="AL24" s="86"/>
      <c r="AM24" s="50"/>
      <c r="AN24" s="50"/>
      <c r="AO24" s="50"/>
      <c r="AP24" s="50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119"/>
      <c r="BC24" s="119"/>
      <c r="BD24" s="119"/>
      <c r="BE24" s="119"/>
      <c r="BF24" s="119"/>
      <c r="BG24" s="119"/>
      <c r="BH24" s="119"/>
      <c r="BI24" s="119"/>
      <c r="BJ24" s="119"/>
      <c r="BK24" s="238"/>
      <c r="BL24" s="238"/>
      <c r="BM24" s="238"/>
      <c r="BN24" s="240"/>
      <c r="BO24" s="119"/>
      <c r="BP24" s="119"/>
      <c r="BQ24" s="119"/>
      <c r="BR24" s="119"/>
      <c r="BS24" s="119"/>
      <c r="BT24" s="119"/>
      <c r="BU24" s="119"/>
      <c r="BV24" s="119"/>
      <c r="BW24" s="119"/>
      <c r="BX24" s="10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  <c r="DF24" s="119"/>
      <c r="DG24" s="119"/>
      <c r="DH24" s="119"/>
      <c r="DI24" s="119"/>
      <c r="DJ24" s="119"/>
      <c r="DK24" s="119"/>
      <c r="DL24" s="119"/>
    </row>
    <row r="25" ht="35.25" customHeight="1">
      <c r="A25" s="225"/>
      <c r="B25" s="335"/>
      <c r="C25" s="193" t="s">
        <v>208</v>
      </c>
      <c r="D25" s="200" t="s">
        <v>209</v>
      </c>
      <c r="E25" s="9"/>
      <c r="F25" s="50"/>
      <c r="G25" s="50"/>
      <c r="H25" s="50"/>
      <c r="I25" s="50"/>
      <c r="J25" s="50"/>
      <c r="K25" s="50"/>
      <c r="L25" s="50"/>
      <c r="M25" s="86"/>
      <c r="N25" s="86"/>
      <c r="O25" s="86"/>
      <c r="P25" s="80"/>
      <c r="Q25" s="86"/>
      <c r="R25" s="86"/>
      <c r="S25" s="86"/>
      <c r="T25" s="86"/>
      <c r="U25" s="70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50"/>
      <c r="AG25" s="50"/>
      <c r="AH25" s="50"/>
      <c r="AI25" s="50"/>
      <c r="AJ25" s="50"/>
      <c r="AK25" s="50"/>
      <c r="AL25" s="50"/>
      <c r="AM25" s="57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236"/>
      <c r="BB25" s="236"/>
      <c r="BC25" s="236"/>
      <c r="BD25" s="240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0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9"/>
      <c r="DG25" s="119"/>
      <c r="DH25" s="119"/>
      <c r="DI25" s="119"/>
      <c r="DJ25" s="119"/>
      <c r="DK25" s="119"/>
      <c r="DL25" s="119"/>
      <c r="DM25" s="115"/>
    </row>
    <row r="26" ht="35.25" customHeight="1">
      <c r="B26" s="335"/>
      <c r="C26" s="194" t="s">
        <v>211</v>
      </c>
      <c r="D26" s="200" t="s">
        <v>184</v>
      </c>
      <c r="E26" s="9"/>
      <c r="F26" s="50"/>
      <c r="G26" s="50"/>
      <c r="H26" s="50"/>
      <c r="I26" s="50"/>
      <c r="J26" s="50"/>
      <c r="K26" s="50"/>
      <c r="L26" s="50"/>
      <c r="M26" s="86"/>
      <c r="N26" s="86"/>
      <c r="O26" s="86"/>
      <c r="P26" s="80"/>
      <c r="Q26" s="86"/>
      <c r="R26" s="86"/>
      <c r="S26" s="86"/>
      <c r="T26" s="86"/>
      <c r="U26" s="70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50"/>
      <c r="AG26" s="50"/>
      <c r="AH26" s="50"/>
      <c r="AI26" s="50"/>
      <c r="AJ26" s="50"/>
      <c r="AK26" s="50"/>
      <c r="AL26" s="50"/>
      <c r="AM26" s="57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89"/>
      <c r="BB26" s="89"/>
      <c r="BC26" s="89"/>
      <c r="BD26" s="8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0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9"/>
      <c r="DG26" s="119"/>
      <c r="DH26" s="119"/>
      <c r="DI26" s="119"/>
      <c r="DJ26" s="119"/>
      <c r="DK26" s="119"/>
      <c r="DL26" s="119"/>
      <c r="DM26" s="115"/>
    </row>
    <row r="27" ht="35.25" customHeight="1">
      <c r="B27" s="335"/>
      <c r="C27" s="194" t="s">
        <v>212</v>
      </c>
      <c r="D27" s="200" t="s">
        <v>184</v>
      </c>
      <c r="E27" s="9"/>
      <c r="F27" s="50"/>
      <c r="G27" s="50"/>
      <c r="H27" s="50"/>
      <c r="I27" s="50"/>
      <c r="J27" s="50"/>
      <c r="K27" s="50"/>
      <c r="L27" s="50"/>
      <c r="M27" s="86"/>
      <c r="N27" s="86"/>
      <c r="O27" s="86"/>
      <c r="P27" s="80"/>
      <c r="Q27" s="86"/>
      <c r="R27" s="86"/>
      <c r="S27" s="86"/>
      <c r="T27" s="86"/>
      <c r="U27" s="70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50"/>
      <c r="AG27" s="50"/>
      <c r="AH27" s="50"/>
      <c r="AI27" s="50"/>
      <c r="AJ27" s="50"/>
      <c r="AK27" s="50"/>
      <c r="AL27" s="50"/>
      <c r="AM27" s="57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89"/>
      <c r="BB27" s="89"/>
      <c r="BC27" s="89"/>
      <c r="BD27" s="8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0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9"/>
      <c r="DG27" s="119"/>
      <c r="DH27" s="119"/>
      <c r="DI27" s="119"/>
      <c r="DJ27" s="119"/>
      <c r="DK27" s="119"/>
      <c r="DL27" s="119"/>
      <c r="DM27" s="115"/>
    </row>
    <row r="28" ht="35.25" customHeight="1">
      <c r="B28" s="335"/>
      <c r="C28" s="194" t="s">
        <v>213</v>
      </c>
      <c r="D28" s="200" t="s">
        <v>184</v>
      </c>
      <c r="E28" s="9"/>
      <c r="F28" s="50"/>
      <c r="G28" s="50"/>
      <c r="H28" s="50"/>
      <c r="I28" s="50"/>
      <c r="J28" s="50"/>
      <c r="K28" s="50"/>
      <c r="L28" s="50"/>
      <c r="M28" s="86"/>
      <c r="N28" s="86"/>
      <c r="O28" s="86"/>
      <c r="P28" s="80"/>
      <c r="Q28" s="86"/>
      <c r="R28" s="86"/>
      <c r="S28" s="86"/>
      <c r="T28" s="86"/>
      <c r="U28" s="70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50"/>
      <c r="AG28" s="50"/>
      <c r="AH28" s="50"/>
      <c r="AI28" s="50"/>
      <c r="AJ28" s="50"/>
      <c r="AK28" s="50"/>
      <c r="AL28" s="50"/>
      <c r="AM28" s="57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89"/>
      <c r="BB28" s="89"/>
      <c r="BC28" s="89"/>
      <c r="BD28" s="8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0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5"/>
    </row>
    <row r="29" ht="35.25" customHeight="1">
      <c r="B29" s="335"/>
      <c r="C29" s="194" t="s">
        <v>214</v>
      </c>
      <c r="D29" s="200" t="s">
        <v>184</v>
      </c>
      <c r="E29" s="9"/>
      <c r="F29" s="50"/>
      <c r="G29" s="50"/>
      <c r="H29" s="50"/>
      <c r="I29" s="50"/>
      <c r="J29" s="50"/>
      <c r="K29" s="50"/>
      <c r="L29" s="50"/>
      <c r="M29" s="86"/>
      <c r="N29" s="86"/>
      <c r="O29" s="86"/>
      <c r="P29" s="80"/>
      <c r="Q29" s="86"/>
      <c r="R29" s="86"/>
      <c r="S29" s="86"/>
      <c r="T29" s="86"/>
      <c r="U29" s="70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50"/>
      <c r="AG29" s="50"/>
      <c r="AH29" s="50"/>
      <c r="AI29" s="50"/>
      <c r="AJ29" s="50"/>
      <c r="AK29" s="50"/>
      <c r="AL29" s="50"/>
      <c r="AM29" s="57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89"/>
      <c r="BB29" s="89"/>
      <c r="BC29" s="89"/>
      <c r="BD29" s="8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0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5"/>
    </row>
    <row r="30" ht="33" customHeight="1">
      <c r="B30" s="335"/>
      <c r="C30" s="194" t="s">
        <v>215</v>
      </c>
      <c r="D30" s="200" t="s">
        <v>184</v>
      </c>
      <c r="E30" s="9"/>
      <c r="F30" s="50"/>
      <c r="G30" s="50"/>
      <c r="H30" s="50"/>
      <c r="I30" s="50"/>
      <c r="J30" s="50"/>
      <c r="K30" s="50"/>
      <c r="L30" s="50"/>
      <c r="M30" s="86"/>
      <c r="N30" s="86"/>
      <c r="O30" s="86"/>
      <c r="P30" s="80"/>
      <c r="Q30" s="86"/>
      <c r="R30" s="86"/>
      <c r="S30" s="86"/>
      <c r="T30" s="86"/>
      <c r="U30" s="70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50"/>
      <c r="AG30" s="50"/>
      <c r="AH30" s="50"/>
      <c r="AI30" s="50"/>
      <c r="AJ30" s="50"/>
      <c r="AK30" s="50"/>
      <c r="AL30" s="50"/>
      <c r="AM30" s="57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89"/>
      <c r="BB30" s="89"/>
      <c r="BC30" s="89"/>
      <c r="BD30" s="8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0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5"/>
    </row>
    <row r="31" ht="66" customHeight="1">
      <c r="B31" s="335"/>
      <c r="C31" s="194" t="s">
        <v>216</v>
      </c>
      <c r="D31" s="200" t="s">
        <v>184</v>
      </c>
      <c r="E31" s="9"/>
      <c r="F31" s="50"/>
      <c r="G31" s="50"/>
      <c r="H31" s="50"/>
      <c r="I31" s="50"/>
      <c r="J31" s="50"/>
      <c r="K31" s="50"/>
      <c r="L31" s="50"/>
      <c r="M31" s="86"/>
      <c r="N31" s="86"/>
      <c r="O31" s="86"/>
      <c r="P31" s="80"/>
      <c r="Q31" s="86"/>
      <c r="R31" s="86"/>
      <c r="S31" s="86"/>
      <c r="T31" s="86"/>
      <c r="U31" s="70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50"/>
      <c r="AG31" s="50"/>
      <c r="AH31" s="50"/>
      <c r="AI31" s="50"/>
      <c r="AJ31" s="50"/>
      <c r="AK31" s="50"/>
      <c r="AL31" s="50"/>
      <c r="AM31" s="57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89"/>
      <c r="BB31" s="89"/>
      <c r="BC31" s="89"/>
      <c r="BD31" s="8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0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9"/>
      <c r="DG31" s="119"/>
      <c r="DH31" s="119"/>
      <c r="DI31" s="119"/>
      <c r="DJ31" s="119"/>
      <c r="DK31" s="119"/>
      <c r="DL31" s="119"/>
      <c r="DM31" s="115"/>
    </row>
    <row r="32" ht="16.5" customHeight="1">
      <c r="B32" s="335"/>
      <c r="C32" s="194" t="s">
        <v>217</v>
      </c>
      <c r="D32" s="200" t="s">
        <v>184</v>
      </c>
      <c r="E32" s="9"/>
      <c r="F32" s="50"/>
      <c r="G32" s="50"/>
      <c r="H32" s="50"/>
      <c r="I32" s="50"/>
      <c r="J32" s="50"/>
      <c r="K32" s="50"/>
      <c r="L32" s="50"/>
      <c r="M32" s="86"/>
      <c r="N32" s="86"/>
      <c r="O32" s="86"/>
      <c r="P32" s="80"/>
      <c r="Q32" s="86"/>
      <c r="R32" s="86"/>
      <c r="S32" s="86"/>
      <c r="T32" s="86"/>
      <c r="U32" s="70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50"/>
      <c r="AG32" s="50"/>
      <c r="AH32" s="50"/>
      <c r="AI32" s="50"/>
      <c r="AJ32" s="50"/>
      <c r="AK32" s="50"/>
      <c r="AL32" s="50"/>
      <c r="AM32" s="57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89"/>
      <c r="BB32" s="89"/>
      <c r="BC32" s="89"/>
      <c r="BD32" s="8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0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5"/>
    </row>
    <row r="33" ht="35.25" customHeight="1">
      <c r="B33" s="335"/>
      <c r="C33" s="212" t="s">
        <v>218</v>
      </c>
      <c r="D33" s="200" t="s">
        <v>219</v>
      </c>
      <c r="E33" s="9"/>
      <c r="F33" s="50"/>
      <c r="G33" s="50"/>
      <c r="H33" s="50"/>
      <c r="I33" s="50"/>
      <c r="J33" s="50"/>
      <c r="K33" s="50"/>
      <c r="L33" s="50"/>
      <c r="M33" s="86"/>
      <c r="N33" s="86"/>
      <c r="O33" s="86"/>
      <c r="P33" s="80"/>
      <c r="Q33" s="86"/>
      <c r="R33" s="86"/>
      <c r="S33" s="86"/>
      <c r="T33" s="86"/>
      <c r="U33" s="70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50"/>
      <c r="AG33" s="50"/>
      <c r="AH33" s="50"/>
      <c r="AI33" s="50"/>
      <c r="AJ33" s="50"/>
      <c r="AK33" s="50"/>
      <c r="AL33" s="50"/>
      <c r="AM33" s="57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207"/>
      <c r="BJ33" s="207"/>
      <c r="BK33" s="207"/>
      <c r="BL33" s="207"/>
      <c r="BM33" s="198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0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5"/>
    </row>
    <row r="34" ht="35.25" customHeight="1">
      <c r="B34" s="335"/>
      <c r="C34" s="194" t="s">
        <v>220</v>
      </c>
      <c r="D34" s="200" t="s">
        <v>219</v>
      </c>
      <c r="E34" s="9"/>
      <c r="F34" s="50"/>
      <c r="G34" s="50"/>
      <c r="H34" s="50"/>
      <c r="I34" s="50"/>
      <c r="J34" s="50"/>
      <c r="K34" s="50"/>
      <c r="L34" s="50"/>
      <c r="M34" s="86"/>
      <c r="N34" s="86"/>
      <c r="O34" s="86"/>
      <c r="P34" s="80"/>
      <c r="Q34" s="86"/>
      <c r="R34" s="86"/>
      <c r="S34" s="86"/>
      <c r="T34" s="86"/>
      <c r="U34" s="70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50"/>
      <c r="AG34" s="50"/>
      <c r="AH34" s="50"/>
      <c r="AI34" s="50"/>
      <c r="AJ34" s="50"/>
      <c r="AK34" s="50"/>
      <c r="AL34" s="50"/>
      <c r="AM34" s="57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89"/>
      <c r="BB34" s="89"/>
      <c r="BC34" s="89"/>
      <c r="BD34" s="89"/>
      <c r="BE34" s="89"/>
      <c r="BF34" s="89"/>
      <c r="BG34" s="89"/>
      <c r="BH34" s="89"/>
      <c r="BI34" s="207"/>
      <c r="BJ34" s="207"/>
      <c r="BK34" s="207"/>
      <c r="BL34" s="207"/>
      <c r="BM34" s="198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0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9"/>
      <c r="DG34" s="119"/>
      <c r="DH34" s="119"/>
      <c r="DI34" s="119"/>
      <c r="DJ34" s="119"/>
      <c r="DK34" s="119"/>
      <c r="DL34" s="119"/>
      <c r="DM34" s="115"/>
    </row>
    <row r="35" ht="35.25" customHeight="1">
      <c r="B35" s="335"/>
      <c r="C35" s="194" t="s">
        <v>221</v>
      </c>
      <c r="D35" s="200" t="s">
        <v>219</v>
      </c>
      <c r="E35" s="9"/>
      <c r="F35" s="50"/>
      <c r="G35" s="50"/>
      <c r="H35" s="50"/>
      <c r="I35" s="50"/>
      <c r="J35" s="50"/>
      <c r="K35" s="50"/>
      <c r="L35" s="50"/>
      <c r="M35" s="86"/>
      <c r="N35" s="86"/>
      <c r="O35" s="86"/>
      <c r="P35" s="80"/>
      <c r="Q35" s="86"/>
      <c r="R35" s="86"/>
      <c r="S35" s="86"/>
      <c r="T35" s="86"/>
      <c r="U35" s="70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50"/>
      <c r="AG35" s="50"/>
      <c r="AH35" s="50"/>
      <c r="AI35" s="50"/>
      <c r="AJ35" s="50"/>
      <c r="AK35" s="50"/>
      <c r="AL35" s="50"/>
      <c r="AM35" s="57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207"/>
      <c r="AZ35" s="207"/>
      <c r="BA35" s="207"/>
      <c r="BB35" s="207"/>
      <c r="BC35" s="119"/>
      <c r="BD35" s="119"/>
      <c r="BE35" s="119"/>
      <c r="BF35" s="119"/>
      <c r="BG35" s="119"/>
      <c r="BH35" s="119"/>
      <c r="BI35" s="119"/>
      <c r="BJ35" s="237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0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9"/>
      <c r="DG35" s="119"/>
      <c r="DH35" s="119"/>
      <c r="DI35" s="119"/>
      <c r="DJ35" s="119"/>
      <c r="DK35" s="119"/>
      <c r="DL35" s="119"/>
      <c r="DM35" s="115"/>
    </row>
    <row r="36" ht="49.5" customHeight="1">
      <c r="B36" s="365" t="s">
        <v>222</v>
      </c>
      <c r="C36" s="211" t="s">
        <v>223</v>
      </c>
      <c r="D36" s="331" t="s">
        <v>224</v>
      </c>
      <c r="E36" s="19"/>
      <c r="F36" s="46"/>
      <c r="G36" s="50"/>
      <c r="H36" s="50"/>
      <c r="I36" s="50"/>
      <c r="J36" s="50"/>
      <c r="K36" s="50"/>
      <c r="L36" s="50"/>
      <c r="M36" s="57"/>
      <c r="N36" s="50"/>
      <c r="O36" s="46"/>
      <c r="P36" s="46"/>
      <c r="Q36" s="46"/>
      <c r="R36" s="50"/>
      <c r="S36" s="50"/>
      <c r="T36" s="50"/>
      <c r="U36" s="50"/>
      <c r="V36" s="50"/>
      <c r="W36" s="50"/>
      <c r="X36" s="50"/>
      <c r="Y36" s="185"/>
      <c r="Z36" s="86"/>
      <c r="AA36" s="50"/>
      <c r="AB36" s="50"/>
      <c r="AC36" s="50"/>
      <c r="AD36" s="50"/>
      <c r="AE36" s="50"/>
      <c r="AF36" s="207"/>
      <c r="AG36" s="207"/>
      <c r="AH36" s="207"/>
      <c r="AI36" s="207"/>
      <c r="AJ36" s="50"/>
      <c r="AK36" s="50"/>
      <c r="AL36" s="50"/>
      <c r="AM36" s="50"/>
      <c r="AN36" s="50"/>
      <c r="AO36" s="50"/>
      <c r="AP36" s="50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37"/>
      <c r="BC36" s="237"/>
      <c r="BD36" s="237"/>
      <c r="BE36" s="89"/>
      <c r="BF36" s="89"/>
      <c r="BG36" s="89"/>
      <c r="BH36" s="119"/>
      <c r="BI36" s="119"/>
      <c r="BJ36" s="207"/>
      <c r="BK36" s="237"/>
      <c r="BL36" s="119"/>
      <c r="BM36" s="119"/>
      <c r="BN36" s="119"/>
      <c r="BO36" s="119"/>
      <c r="BP36" s="207"/>
      <c r="BQ36" s="237"/>
      <c r="BR36" s="119"/>
      <c r="BS36" s="119"/>
      <c r="BT36" s="119"/>
      <c r="BU36" s="119"/>
      <c r="BV36" s="119"/>
      <c r="BW36" s="119"/>
      <c r="BX36" s="10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</row>
    <row r="37" ht="27" customHeight="1">
      <c r="B37" s="366"/>
      <c r="C37" s="331" t="s">
        <v>225</v>
      </c>
      <c r="D37" s="331" t="s">
        <v>224</v>
      </c>
      <c r="E37" s="19"/>
      <c r="F37" s="46"/>
      <c r="G37" s="50"/>
      <c r="H37" s="50"/>
      <c r="I37" s="50"/>
      <c r="J37" s="50"/>
      <c r="K37" s="50"/>
      <c r="L37" s="50"/>
      <c r="M37" s="57"/>
      <c r="N37" s="50"/>
      <c r="O37" s="46"/>
      <c r="P37" s="46"/>
      <c r="Q37" s="46"/>
      <c r="R37" s="50"/>
      <c r="S37" s="50"/>
      <c r="T37" s="50"/>
      <c r="U37" s="50"/>
      <c r="V37" s="50"/>
      <c r="W37" s="50"/>
      <c r="X37" s="50"/>
      <c r="Y37" s="185"/>
      <c r="Z37" s="86"/>
      <c r="AA37" s="50"/>
      <c r="AB37" s="50"/>
      <c r="AC37" s="50"/>
      <c r="AD37" s="50"/>
      <c r="AE37" s="50"/>
      <c r="AF37" s="46"/>
      <c r="AG37" s="46"/>
      <c r="AH37" s="46"/>
      <c r="AI37" s="50"/>
      <c r="AJ37" s="207"/>
      <c r="AK37" s="207"/>
      <c r="AL37" s="50"/>
      <c r="AM37" s="50"/>
      <c r="AN37" s="50"/>
      <c r="AO37" s="50"/>
      <c r="AP37" s="50"/>
      <c r="AQ37" s="50"/>
      <c r="AR37" s="50"/>
      <c r="AS37" s="50"/>
      <c r="AT37" s="50"/>
      <c r="AU37" s="207"/>
      <c r="AV37" s="207"/>
      <c r="AW37" s="50"/>
      <c r="AX37" s="50"/>
      <c r="AY37" s="50"/>
      <c r="AZ37" s="50"/>
      <c r="BA37" s="50"/>
      <c r="BB37" s="50"/>
      <c r="BC37" s="50"/>
      <c r="BD37" s="89"/>
      <c r="BE37" s="89"/>
      <c r="BF37" s="89"/>
      <c r="BG37" s="89"/>
      <c r="BH37" s="119"/>
      <c r="BI37" s="89"/>
      <c r="BJ37" s="119"/>
      <c r="BK37" s="119"/>
      <c r="BL37" s="207"/>
      <c r="BM37" s="207"/>
      <c r="BN37" s="119"/>
      <c r="BO37" s="119"/>
      <c r="BP37" s="119"/>
      <c r="BQ37" s="119"/>
      <c r="BR37" s="207"/>
      <c r="BS37" s="198"/>
      <c r="BT37" s="119"/>
      <c r="BU37" s="119"/>
      <c r="BV37" s="119"/>
      <c r="BW37" s="119"/>
      <c r="BX37" s="10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  <c r="DF37" s="119"/>
      <c r="DG37" s="119"/>
      <c r="DH37" s="119"/>
      <c r="DI37" s="119"/>
      <c r="DJ37" s="119"/>
      <c r="DK37" s="119"/>
      <c r="DL37" s="119"/>
    </row>
    <row r="38" ht="27" customHeight="1">
      <c r="B38" s="366"/>
      <c r="C38" s="211" t="s">
        <v>226</v>
      </c>
      <c r="D38" s="331" t="s">
        <v>224</v>
      </c>
      <c r="E38" s="19"/>
      <c r="F38" s="46"/>
      <c r="G38" s="50"/>
      <c r="H38" s="50"/>
      <c r="I38" s="50"/>
      <c r="J38" s="50"/>
      <c r="K38" s="50"/>
      <c r="L38" s="50"/>
      <c r="M38" s="57"/>
      <c r="N38" s="50"/>
      <c r="O38" s="46"/>
      <c r="P38" s="46"/>
      <c r="Q38" s="46"/>
      <c r="R38" s="50"/>
      <c r="S38" s="50"/>
      <c r="T38" s="50"/>
      <c r="U38" s="50"/>
      <c r="V38" s="50"/>
      <c r="W38" s="50"/>
      <c r="X38" s="50"/>
      <c r="Y38" s="185"/>
      <c r="Z38" s="86"/>
      <c r="AA38" s="50"/>
      <c r="AB38" s="50"/>
      <c r="AC38" s="50"/>
      <c r="AD38" s="50"/>
      <c r="AE38" s="50"/>
      <c r="AF38" s="46"/>
      <c r="AG38" s="46"/>
      <c r="AH38" s="46"/>
      <c r="AI38" s="50"/>
      <c r="AJ38" s="50"/>
      <c r="AK38" s="50"/>
      <c r="AL38" s="207"/>
      <c r="AM38" s="207"/>
      <c r="AN38" s="50"/>
      <c r="AO38" s="50"/>
      <c r="AP38" s="50"/>
      <c r="AQ38" s="50"/>
      <c r="AR38" s="50"/>
      <c r="AS38" s="50"/>
      <c r="AT38" s="50"/>
      <c r="AU38" s="207"/>
      <c r="AV38" s="50"/>
      <c r="AW38" s="50"/>
      <c r="AX38" s="50"/>
      <c r="AY38" s="50"/>
      <c r="AZ38" s="50"/>
      <c r="BA38" s="50"/>
      <c r="BB38" s="50"/>
      <c r="BC38" s="50"/>
      <c r="BD38" s="89"/>
      <c r="BE38" s="89"/>
      <c r="BF38" s="89"/>
      <c r="BG38" s="8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207"/>
      <c r="BU38" s="198"/>
      <c r="BV38" s="119"/>
      <c r="BW38" s="119"/>
      <c r="BX38" s="10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  <c r="DF38" s="119"/>
      <c r="DG38" s="119"/>
      <c r="DH38" s="119"/>
      <c r="DI38" s="119"/>
      <c r="DJ38" s="119"/>
      <c r="DK38" s="119"/>
      <c r="DL38" s="119"/>
    </row>
    <row r="39" ht="66" customHeight="1">
      <c r="B39" s="366"/>
      <c r="C39" s="331" t="s">
        <v>227</v>
      </c>
      <c r="D39" s="331" t="s">
        <v>224</v>
      </c>
      <c r="E39" s="19"/>
      <c r="F39" s="46"/>
      <c r="G39" s="50"/>
      <c r="H39" s="50"/>
      <c r="I39" s="50"/>
      <c r="J39" s="50"/>
      <c r="K39" s="50"/>
      <c r="L39" s="50"/>
      <c r="M39" s="57"/>
      <c r="N39" s="50"/>
      <c r="O39" s="46"/>
      <c r="P39" s="46"/>
      <c r="Q39" s="46"/>
      <c r="R39" s="50"/>
      <c r="S39" s="46"/>
      <c r="T39" s="46"/>
      <c r="U39" s="46"/>
      <c r="V39" s="46"/>
      <c r="W39" s="46"/>
      <c r="X39" s="46"/>
      <c r="Y39" s="46"/>
      <c r="Z39" s="46"/>
      <c r="AA39" s="100"/>
      <c r="AB39" s="100"/>
      <c r="AC39" s="100"/>
      <c r="AD39" s="100"/>
      <c r="AE39" s="100"/>
      <c r="AF39" s="100"/>
      <c r="AG39" s="100"/>
      <c r="AH39" s="100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50"/>
      <c r="AX39" s="50"/>
      <c r="AY39" s="50"/>
      <c r="AZ39" s="50"/>
      <c r="BA39" s="50"/>
      <c r="BB39" s="50"/>
      <c r="BC39" s="50"/>
      <c r="BD39" s="89"/>
      <c r="BE39" s="207"/>
      <c r="BF39" s="207"/>
      <c r="BG39" s="207"/>
      <c r="BH39" s="207"/>
      <c r="BI39" s="207"/>
      <c r="BJ39" s="207"/>
      <c r="BK39" s="207"/>
      <c r="BL39" s="207"/>
      <c r="BM39" s="207"/>
      <c r="BN39" s="207"/>
      <c r="BO39" s="207"/>
      <c r="BP39" s="207"/>
      <c r="BQ39" s="207"/>
      <c r="BR39" s="207"/>
      <c r="BS39" s="207"/>
      <c r="BT39" s="207"/>
      <c r="BU39" s="207"/>
      <c r="BV39" s="207"/>
      <c r="BW39" s="207"/>
      <c r="BX39" s="207"/>
      <c r="BY39" s="198"/>
      <c r="BZ39" s="50"/>
      <c r="CA39" s="50"/>
      <c r="CB39" s="89"/>
      <c r="CC39" s="89"/>
      <c r="CD39" s="89"/>
      <c r="CE39" s="89"/>
      <c r="CF39" s="10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  <c r="DF39" s="119"/>
      <c r="DG39" s="119"/>
      <c r="DH39" s="119"/>
      <c r="DI39" s="119"/>
      <c r="DJ39" s="119"/>
      <c r="DK39" s="119"/>
      <c r="DL39" s="119"/>
    </row>
    <row r="40" ht="30.599999999999998" customHeight="1">
      <c r="B40" s="366"/>
      <c r="C40" s="331" t="s">
        <v>228</v>
      </c>
      <c r="D40" s="204" t="s">
        <v>229</v>
      </c>
      <c r="E40" s="19"/>
      <c r="F40" s="46"/>
      <c r="G40" s="46"/>
      <c r="H40" s="46"/>
      <c r="I40" s="46"/>
      <c r="J40" s="46"/>
      <c r="K40" s="46"/>
      <c r="L40" s="46"/>
      <c r="M40" s="111"/>
      <c r="N40" s="46"/>
      <c r="O40" s="46"/>
      <c r="P40" s="46"/>
      <c r="Q40" s="46"/>
      <c r="R40" s="50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207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50"/>
      <c r="AY40" s="50"/>
      <c r="AZ40" s="50"/>
      <c r="BA40" s="50"/>
      <c r="BB40" s="50"/>
      <c r="BC40" s="50"/>
      <c r="BD40" s="89"/>
      <c r="BE40" s="50"/>
      <c r="BF40" s="207"/>
      <c r="BG40" s="207"/>
      <c r="BH40" s="207"/>
      <c r="BI40" s="207"/>
      <c r="BJ40" s="207"/>
      <c r="BK40" s="207"/>
      <c r="BL40" s="207"/>
      <c r="BM40" s="207"/>
      <c r="BN40" s="207"/>
      <c r="BO40" s="207"/>
      <c r="BP40" s="207"/>
      <c r="BQ40" s="207"/>
      <c r="BR40" s="207"/>
      <c r="BS40" s="207"/>
      <c r="BT40" s="207"/>
      <c r="BU40" s="207"/>
      <c r="BV40" s="198"/>
      <c r="BW40" s="50"/>
      <c r="BX40" s="50"/>
      <c r="BY40" s="50"/>
      <c r="BZ40" s="50"/>
      <c r="CA40" s="50"/>
      <c r="CB40" s="89"/>
      <c r="CC40" s="89"/>
      <c r="CD40" s="89"/>
      <c r="CE40" s="89"/>
      <c r="CF40" s="10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  <c r="DF40" s="119"/>
      <c r="DG40" s="119"/>
      <c r="DH40" s="119"/>
      <c r="DI40" s="119"/>
      <c r="DJ40" s="119"/>
      <c r="DK40" s="119"/>
      <c r="DL40" s="119"/>
    </row>
    <row r="41" ht="33" customHeight="1">
      <c r="B41" s="366"/>
      <c r="C41" s="331" t="s">
        <v>230</v>
      </c>
      <c r="D41" s="331" t="s">
        <v>224</v>
      </c>
      <c r="E41" s="19"/>
      <c r="F41" s="46"/>
      <c r="G41" s="50"/>
      <c r="H41" s="50"/>
      <c r="I41" s="50"/>
      <c r="J41" s="50"/>
      <c r="K41" s="50"/>
      <c r="L41" s="50"/>
      <c r="M41" s="57"/>
      <c r="N41" s="50"/>
      <c r="O41" s="46"/>
      <c r="P41" s="46"/>
      <c r="Q41" s="46"/>
      <c r="R41" s="50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0"/>
      <c r="AK41" s="50"/>
      <c r="AL41" s="50"/>
      <c r="AM41" s="50"/>
      <c r="AN41" s="9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89"/>
      <c r="BE41" s="57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207"/>
      <c r="BX41" s="207"/>
      <c r="BY41" s="207"/>
      <c r="BZ41" s="207"/>
      <c r="CA41" s="207"/>
      <c r="CB41" s="207"/>
      <c r="CC41" s="198"/>
      <c r="CD41" s="89"/>
      <c r="CE41" s="89"/>
      <c r="CF41" s="10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  <c r="DF41" s="119"/>
      <c r="DG41" s="119"/>
      <c r="DH41" s="119"/>
      <c r="DI41" s="119"/>
      <c r="DJ41" s="119"/>
      <c r="DK41" s="119"/>
      <c r="DL41" s="119"/>
    </row>
    <row r="42" ht="30.599999999999998" customHeight="1">
      <c r="B42" s="366"/>
      <c r="C42" s="331" t="s">
        <v>231</v>
      </c>
      <c r="D42" s="331" t="s">
        <v>232</v>
      </c>
      <c r="E42" s="19"/>
      <c r="F42" s="46"/>
      <c r="G42" s="50"/>
      <c r="H42" s="50"/>
      <c r="I42" s="50"/>
      <c r="J42" s="50"/>
      <c r="K42" s="50"/>
      <c r="L42" s="50"/>
      <c r="M42" s="57"/>
      <c r="N42" s="50"/>
      <c r="O42" s="46"/>
      <c r="P42" s="46"/>
      <c r="Q42" s="46"/>
      <c r="R42" s="50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0"/>
      <c r="AK42" s="50"/>
      <c r="AL42" s="50"/>
      <c r="AM42" s="50"/>
      <c r="AN42" s="9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89"/>
      <c r="BE42" s="57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89"/>
      <c r="CC42" s="89"/>
      <c r="CD42" s="207"/>
      <c r="CE42" s="207"/>
      <c r="CF42" s="207"/>
      <c r="CG42" s="198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  <c r="DF42" s="119"/>
      <c r="DG42" s="119"/>
      <c r="DH42" s="119"/>
      <c r="DI42" s="119"/>
      <c r="DJ42" s="119"/>
      <c r="DK42" s="119"/>
      <c r="DL42" s="119"/>
    </row>
    <row r="43" ht="82.5" customHeight="1">
      <c r="B43" s="366"/>
      <c r="C43" s="331" t="s">
        <v>233</v>
      </c>
      <c r="D43" s="331" t="s">
        <v>224</v>
      </c>
      <c r="E43" s="19"/>
      <c r="F43" s="46"/>
      <c r="G43" s="50"/>
      <c r="H43" s="50"/>
      <c r="I43" s="50"/>
      <c r="J43" s="50"/>
      <c r="K43" s="50"/>
      <c r="L43" s="50"/>
      <c r="M43" s="57"/>
      <c r="N43" s="50"/>
      <c r="O43" s="46"/>
      <c r="P43" s="46"/>
      <c r="Q43" s="46"/>
      <c r="R43" s="50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0"/>
      <c r="AK43" s="50"/>
      <c r="AL43" s="50"/>
      <c r="AM43" s="50"/>
      <c r="AN43" s="9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89"/>
      <c r="BE43" s="207"/>
      <c r="BF43" s="207"/>
      <c r="BG43" s="207"/>
      <c r="BH43" s="207"/>
      <c r="BI43" s="207"/>
      <c r="BJ43" s="207"/>
      <c r="BK43" s="207"/>
      <c r="BL43" s="207"/>
      <c r="BM43" s="207"/>
      <c r="BN43" s="207"/>
      <c r="BO43" s="207"/>
      <c r="BP43" s="207"/>
      <c r="BQ43" s="50"/>
      <c r="BR43" s="50"/>
      <c r="BS43" s="50"/>
      <c r="BT43" s="50"/>
      <c r="BU43" s="50"/>
      <c r="BV43" s="50"/>
      <c r="BW43" s="50"/>
      <c r="BX43" s="50"/>
      <c r="BY43" s="207"/>
      <c r="BZ43" s="207"/>
      <c r="CA43" s="207"/>
      <c r="CB43" s="207"/>
      <c r="CC43" s="207"/>
      <c r="CD43" s="207"/>
      <c r="CE43" s="207"/>
      <c r="CF43" s="207"/>
      <c r="CG43" s="207"/>
      <c r="CH43" s="207"/>
      <c r="CI43" s="207"/>
      <c r="CJ43" s="207"/>
      <c r="CK43" s="198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19"/>
      <c r="DI43" s="119"/>
      <c r="DJ43" s="119"/>
      <c r="DK43" s="119"/>
      <c r="DL43" s="119"/>
    </row>
    <row r="44" ht="41.25" customHeight="1">
      <c r="B44" s="366"/>
      <c r="C44" s="331" t="s">
        <v>234</v>
      </c>
      <c r="D44" s="331" t="s">
        <v>235</v>
      </c>
      <c r="E44" s="21"/>
      <c r="F44" s="22"/>
      <c r="G44" s="50"/>
      <c r="H44" s="50"/>
      <c r="I44" s="50"/>
      <c r="J44" s="50"/>
      <c r="K44" s="50"/>
      <c r="L44" s="50"/>
      <c r="M44" s="57"/>
      <c r="N44" s="50"/>
      <c r="O44" s="46"/>
      <c r="P44" s="46"/>
      <c r="Q44" s="46"/>
      <c r="R44" s="5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0"/>
      <c r="AK44" s="50"/>
      <c r="AL44" s="50"/>
      <c r="AM44" s="50"/>
      <c r="AN44" s="9"/>
      <c r="AO44" s="50"/>
      <c r="AP44" s="50"/>
      <c r="AQ44" s="50"/>
      <c r="AR44" s="50"/>
      <c r="AS44" s="50"/>
      <c r="AT44" s="50"/>
      <c r="AU44" s="50"/>
      <c r="AV44" s="50"/>
      <c r="AW44" s="50"/>
      <c r="AX44" s="39"/>
      <c r="AY44" s="39"/>
      <c r="AZ44" s="39"/>
      <c r="BA44" s="39"/>
      <c r="BB44" s="39"/>
      <c r="BC44" s="50"/>
      <c r="BD44" s="89"/>
      <c r="BE44" s="50"/>
      <c r="BF44" s="57"/>
      <c r="BG44" s="50"/>
      <c r="BH44" s="50"/>
      <c r="BI44" s="57"/>
      <c r="BJ44" s="46"/>
      <c r="BK44" s="46"/>
      <c r="BL44" s="183"/>
      <c r="BM44" s="50"/>
      <c r="BN44" s="50"/>
      <c r="BO44" s="119"/>
      <c r="BP44" s="119"/>
      <c r="BQ44" s="119"/>
      <c r="BR44" s="50"/>
      <c r="BS44" s="50"/>
      <c r="BT44" s="89"/>
      <c r="BU44" s="89"/>
      <c r="BV44" s="89"/>
      <c r="BW44" s="89"/>
      <c r="BX44" s="10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203"/>
      <c r="CM44" s="203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  <c r="DF44" s="119"/>
      <c r="DG44" s="119"/>
      <c r="DH44" s="119"/>
      <c r="DI44" s="119"/>
      <c r="DJ44" s="119"/>
      <c r="DK44" s="119"/>
      <c r="DL44" s="119"/>
    </row>
    <row r="45" ht="30" customHeight="1">
      <c r="B45" s="369"/>
      <c r="C45" s="183" t="s">
        <v>236</v>
      </c>
      <c r="D45" s="331" t="s">
        <v>235</v>
      </c>
      <c r="E45" s="19"/>
      <c r="F45" s="46"/>
      <c r="G45" s="9"/>
      <c r="H45" s="50"/>
      <c r="I45" s="50"/>
      <c r="J45" s="50"/>
      <c r="K45" s="50"/>
      <c r="L45" s="50"/>
      <c r="M45" s="57"/>
      <c r="N45" s="50"/>
      <c r="O45" s="46"/>
      <c r="P45" s="46"/>
      <c r="Q45" s="46"/>
      <c r="R45" s="5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0"/>
      <c r="AK45" s="50"/>
      <c r="AL45" s="50"/>
      <c r="AM45" s="50"/>
      <c r="AN45" s="9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7"/>
      <c r="BG45" s="50"/>
      <c r="BH45" s="50"/>
      <c r="BI45" s="50"/>
      <c r="BJ45" s="50"/>
      <c r="BK45" s="50"/>
      <c r="BL45" s="46"/>
      <c r="BM45" s="46"/>
      <c r="BN45" s="46"/>
      <c r="BO45" s="46"/>
      <c r="BP45" s="46"/>
      <c r="BQ45" s="119"/>
      <c r="BR45" s="50"/>
      <c r="BS45" s="50"/>
      <c r="BT45" s="89"/>
      <c r="BU45" s="89"/>
      <c r="BV45" s="89"/>
      <c r="BW45" s="89"/>
      <c r="BX45" s="109"/>
      <c r="BY45" s="119"/>
      <c r="BZ45" s="119"/>
      <c r="CA45" s="119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203"/>
      <c r="CO45" s="203"/>
      <c r="CP45" s="203"/>
      <c r="CQ45" s="203"/>
      <c r="CR45" s="203"/>
      <c r="CS45" s="203"/>
      <c r="CT45" s="203"/>
      <c r="CU45" s="203"/>
      <c r="CV45" s="203"/>
      <c r="CW45" s="203"/>
      <c r="CX45" s="203"/>
      <c r="CY45" s="203"/>
      <c r="CZ45" s="119"/>
      <c r="DA45" s="119"/>
      <c r="DB45" s="119"/>
      <c r="DC45" s="119"/>
      <c r="DD45" s="119"/>
      <c r="DE45" s="119"/>
      <c r="DF45" s="119"/>
      <c r="DG45" s="119"/>
      <c r="DH45" s="119"/>
      <c r="DI45" s="119"/>
      <c r="DJ45" s="119"/>
      <c r="DK45" s="119"/>
      <c r="DL45" s="119"/>
    </row>
    <row r="46" ht="30" customHeight="1">
      <c r="B46" s="370" t="s">
        <v>237</v>
      </c>
      <c r="C46" s="46" t="s">
        <v>238</v>
      </c>
      <c r="D46" s="46" t="s">
        <v>239</v>
      </c>
      <c r="E46" s="19"/>
      <c r="F46" s="46"/>
      <c r="G46" s="50"/>
      <c r="H46" s="50"/>
      <c r="I46" s="50"/>
      <c r="J46" s="50"/>
      <c r="K46" s="50"/>
      <c r="L46" s="50"/>
      <c r="M46" s="50"/>
      <c r="N46" s="39"/>
      <c r="O46" s="39"/>
      <c r="P46" s="207"/>
      <c r="Q46" s="207"/>
      <c r="R46" s="207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0"/>
      <c r="AJ46" s="50"/>
      <c r="AK46" s="50"/>
      <c r="AL46" s="50"/>
      <c r="AM46" s="57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89"/>
      <c r="BB46" s="89"/>
      <c r="BC46" s="89"/>
      <c r="BD46" s="8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0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  <c r="DF46" s="119"/>
      <c r="DG46" s="119"/>
      <c r="DH46" s="119"/>
      <c r="DI46" s="119"/>
      <c r="DJ46" s="119"/>
      <c r="DK46" s="119"/>
      <c r="DL46" s="119"/>
    </row>
    <row r="47" ht="30" customHeight="1">
      <c r="B47" s="367"/>
      <c r="C47" s="331" t="s">
        <v>240</v>
      </c>
      <c r="D47" s="46" t="s">
        <v>239</v>
      </c>
      <c r="E47" s="23"/>
      <c r="F47" s="185"/>
      <c r="G47" s="86"/>
      <c r="H47" s="86"/>
      <c r="I47" s="86"/>
      <c r="J47" s="86"/>
      <c r="K47" s="86"/>
      <c r="L47" s="86"/>
      <c r="M47" s="86"/>
      <c r="N47" s="86"/>
      <c r="O47" s="86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0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119"/>
      <c r="BV47" s="119"/>
      <c r="BW47" s="119"/>
      <c r="BX47" s="10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  <c r="DF47" s="119"/>
      <c r="DG47" s="119"/>
      <c r="DH47" s="119"/>
      <c r="DI47" s="119"/>
      <c r="DJ47" s="119"/>
      <c r="DK47" s="119"/>
      <c r="DL47" s="119"/>
    </row>
    <row r="48" ht="30" customHeight="1">
      <c r="B48" s="367"/>
      <c r="C48" s="46" t="s">
        <v>185</v>
      </c>
      <c r="D48" s="46" t="s">
        <v>239</v>
      </c>
      <c r="E48" s="46"/>
      <c r="F48" s="46"/>
      <c r="G48" s="46"/>
      <c r="H48" s="46"/>
      <c r="I48" s="46"/>
      <c r="J48" s="46"/>
      <c r="K48" s="46"/>
      <c r="L48" s="46"/>
      <c r="M48" s="207"/>
      <c r="N48" s="46"/>
      <c r="O48" s="46"/>
      <c r="P48" s="46"/>
      <c r="Q48" s="46"/>
      <c r="R48" s="46"/>
      <c r="S48" s="207"/>
      <c r="T48" s="207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0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  <c r="DF48" s="119"/>
      <c r="DG48" s="119"/>
      <c r="DH48" s="119"/>
      <c r="DI48" s="119"/>
      <c r="DJ48" s="119"/>
      <c r="DK48" s="119"/>
      <c r="DL48" s="119"/>
    </row>
    <row r="49" ht="30" customHeight="1">
      <c r="B49" s="367"/>
      <c r="C49" s="331" t="s">
        <v>241</v>
      </c>
      <c r="D49" s="46" t="s">
        <v>239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0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  <c r="DF49" s="119"/>
      <c r="DG49" s="119"/>
      <c r="DH49" s="119"/>
      <c r="DI49" s="119"/>
      <c r="DJ49" s="119"/>
      <c r="DK49" s="119"/>
      <c r="DL49" s="119"/>
    </row>
    <row r="50" ht="30" customHeight="1">
      <c r="B50" s="367"/>
      <c r="C50" s="218" t="s">
        <v>242</v>
      </c>
      <c r="D50" s="185" t="s">
        <v>239</v>
      </c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119"/>
      <c r="BV50" s="119"/>
      <c r="BW50" s="119"/>
      <c r="BX50" s="10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  <c r="DF50" s="119"/>
      <c r="DG50" s="119"/>
      <c r="DH50" s="119"/>
      <c r="DI50" s="119"/>
      <c r="DJ50" s="119"/>
      <c r="DK50" s="119"/>
      <c r="DL50" s="119"/>
    </row>
    <row r="51" ht="30" customHeight="1">
      <c r="B51" s="365" t="s">
        <v>243</v>
      </c>
      <c r="C51" s="331" t="s">
        <v>244</v>
      </c>
      <c r="D51" s="46" t="s">
        <v>245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207"/>
      <c r="AK51" s="207"/>
      <c r="AL51" s="207"/>
      <c r="AM51" s="207"/>
      <c r="AN51" s="207"/>
      <c r="AO51" s="207"/>
      <c r="AP51" s="207"/>
      <c r="AQ51" s="207"/>
      <c r="AR51" s="46"/>
      <c r="AS51" s="46"/>
      <c r="AT51" s="46"/>
      <c r="AU51" s="46"/>
      <c r="AV51" s="46"/>
      <c r="AW51" s="46"/>
      <c r="AX51" s="46"/>
      <c r="AY51" s="46"/>
      <c r="AZ51" s="46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0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  <c r="DF51" s="119"/>
      <c r="DG51" s="119"/>
      <c r="DH51" s="119"/>
      <c r="DI51" s="119"/>
      <c r="DJ51" s="119"/>
      <c r="DK51" s="119"/>
      <c r="DL51" s="119"/>
    </row>
    <row r="52" ht="30" customHeight="1">
      <c r="B52" s="366"/>
      <c r="C52" s="46" t="s">
        <v>246</v>
      </c>
      <c r="D52" s="46" t="s">
        <v>247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09"/>
      <c r="BY52" s="119"/>
      <c r="BZ52" s="119"/>
      <c r="CA52" s="119"/>
      <c r="CB52" s="119"/>
      <c r="CC52" s="119"/>
      <c r="CD52" s="119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119"/>
      <c r="CS52" s="119"/>
      <c r="CT52" s="119"/>
      <c r="CU52" s="119"/>
      <c r="CV52" s="119"/>
      <c r="CW52" s="119"/>
      <c r="CX52" s="119"/>
      <c r="CY52" s="119"/>
      <c r="CZ52" s="203"/>
      <c r="DA52" s="203"/>
      <c r="DB52" s="119"/>
      <c r="DC52" s="119"/>
      <c r="DD52" s="119"/>
      <c r="DE52" s="119"/>
      <c r="DF52" s="119"/>
      <c r="DG52" s="119"/>
      <c r="DH52" s="119"/>
      <c r="DI52" s="119"/>
      <c r="DJ52" s="119"/>
      <c r="DK52" s="119"/>
      <c r="DL52" s="119"/>
    </row>
    <row r="53" ht="49.5" customHeight="1">
      <c r="B53" s="366"/>
      <c r="C53" s="331" t="s">
        <v>248</v>
      </c>
      <c r="D53" s="46" t="s">
        <v>247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07"/>
      <c r="AS53" s="207"/>
      <c r="AT53" s="46"/>
      <c r="AU53" s="46"/>
      <c r="AV53" s="46"/>
      <c r="AW53" s="46"/>
      <c r="AX53" s="46"/>
      <c r="AY53" s="46"/>
      <c r="AZ53" s="46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1"/>
      <c r="BY53" s="46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  <c r="CU53" s="119"/>
      <c r="CV53" s="119"/>
      <c r="CW53" s="119"/>
      <c r="CX53" s="119"/>
      <c r="CY53" s="119"/>
      <c r="CZ53" s="119"/>
      <c r="DA53" s="119"/>
      <c r="DB53" s="203"/>
      <c r="DC53" s="203"/>
      <c r="DD53" s="203"/>
      <c r="DE53" s="203"/>
      <c r="DF53" s="203"/>
      <c r="DG53" s="203"/>
      <c r="DH53" s="119"/>
      <c r="DI53" s="119"/>
      <c r="DJ53" s="119"/>
      <c r="DK53" s="119"/>
      <c r="DL53" s="119"/>
    </row>
    <row r="54" ht="30" customHeight="1">
      <c r="B54" s="366"/>
      <c r="C54" s="331" t="s">
        <v>249</v>
      </c>
      <c r="D54" s="46" t="s">
        <v>239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09"/>
      <c r="BY54" s="46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  <c r="CU54" s="119"/>
      <c r="CV54" s="119"/>
      <c r="CW54" s="119"/>
      <c r="CX54" s="119"/>
      <c r="CY54" s="119"/>
      <c r="CZ54" s="119"/>
      <c r="DA54" s="119"/>
      <c r="DB54" s="119"/>
      <c r="DC54" s="46"/>
      <c r="DD54" s="119"/>
      <c r="DE54" s="119"/>
      <c r="DF54" s="119"/>
      <c r="DG54" s="119"/>
      <c r="DH54" s="203"/>
      <c r="DI54" s="203"/>
      <c r="DJ54" s="203"/>
      <c r="DK54" s="119"/>
      <c r="DL54" s="119"/>
    </row>
    <row r="55" ht="30" customHeight="1">
      <c r="B55" s="366"/>
      <c r="C55" s="46" t="s">
        <v>250</v>
      </c>
      <c r="D55" s="46" t="s">
        <v>239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09"/>
      <c r="BY55" s="46"/>
      <c r="BZ55" s="119"/>
      <c r="CA55" s="119"/>
      <c r="CB55" s="119"/>
      <c r="CC55" s="119"/>
      <c r="CD55" s="119"/>
      <c r="CE55" s="119"/>
      <c r="CF55" s="119"/>
      <c r="CG55" s="119"/>
      <c r="CH55" s="119"/>
      <c r="CI55" s="119"/>
      <c r="CJ55" s="119"/>
      <c r="CK55" s="119"/>
      <c r="CL55" s="119"/>
      <c r="CM55" s="119"/>
      <c r="CN55" s="119"/>
      <c r="CO55" s="119"/>
      <c r="CP55" s="119"/>
      <c r="CQ55" s="119"/>
      <c r="CR55" s="119"/>
      <c r="CS55" s="119"/>
      <c r="CT55" s="119"/>
      <c r="CU55" s="119"/>
      <c r="CV55" s="119"/>
      <c r="CW55" s="119"/>
      <c r="CX55" s="119"/>
      <c r="CY55" s="119"/>
      <c r="CZ55" s="119"/>
      <c r="DA55" s="119"/>
      <c r="DB55" s="119"/>
      <c r="DC55" s="46"/>
      <c r="DD55" s="119"/>
      <c r="DE55" s="119"/>
      <c r="DF55" s="119"/>
      <c r="DG55" s="119"/>
      <c r="DH55" s="119"/>
      <c r="DI55" s="119"/>
      <c r="DJ55" s="119"/>
      <c r="DK55" s="203"/>
      <c r="DL55" s="119"/>
    </row>
  </sheetData>
  <mergeCells count="35">
    <mergeCell ref="CO2:CR2"/>
    <mergeCell ref="Q2:T2"/>
    <mergeCell ref="DA2:DD2"/>
    <mergeCell ref="B51:B55"/>
    <mergeCell ref="U2:X2"/>
    <mergeCell ref="C1:BT1"/>
    <mergeCell ref="BA2:BD2"/>
    <mergeCell ref="CK2:CN2"/>
    <mergeCell ref="BE2:BH2"/>
    <mergeCell ref="B3:C3"/>
    <mergeCell ref="CC2:CF2"/>
    <mergeCell ref="AK2:AN2"/>
    <mergeCell ref="B46:B50"/>
    <mergeCell ref="M2:P2"/>
    <mergeCell ref="Y2:AB2"/>
    <mergeCell ref="BQ2:BT2"/>
    <mergeCell ref="DE2:DH2"/>
    <mergeCell ref="CW2:CZ2"/>
    <mergeCell ref="DI2:DL2"/>
    <mergeCell ref="B2:C2"/>
    <mergeCell ref="AC2:AF2"/>
    <mergeCell ref="BM2:BP2"/>
    <mergeCell ref="I2:L2"/>
    <mergeCell ref="AG2:AJ2"/>
    <mergeCell ref="B36:B45"/>
    <mergeCell ref="AS2:AV2"/>
    <mergeCell ref="AW2:AZ2"/>
    <mergeCell ref="BU2:BX2"/>
    <mergeCell ref="B4:B22"/>
    <mergeCell ref="CG2:CJ2"/>
    <mergeCell ref="E2:H2"/>
    <mergeCell ref="BI2:BL2"/>
    <mergeCell ref="CS2:CV2"/>
    <mergeCell ref="BY2:CB2"/>
    <mergeCell ref="AO2:AR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16" width="2.4990234375" customWidth="1" style="118"/>
  </cols>
  <sheetData>
    <row r="1" ht="30" customHeight="1">
      <c r="C1" s="359" t="s">
        <v>171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DM1" s="118" t="s">
        <v>172</v>
      </c>
    </row>
    <row r="2" ht="30" customHeight="1">
      <c r="B2" s="361" t="s">
        <v>173</v>
      </c>
      <c r="C2" s="361"/>
      <c r="D2" s="233" t="s">
        <v>174</v>
      </c>
      <c r="E2" s="362" t="n">
        <v>8</v>
      </c>
      <c r="F2" s="363"/>
      <c r="G2" s="363"/>
      <c r="H2" s="363"/>
      <c r="I2" s="362" t="n">
        <v>9</v>
      </c>
      <c r="J2" s="363"/>
      <c r="K2" s="363"/>
      <c r="L2" s="363"/>
      <c r="M2" s="362" t="n">
        <v>10</v>
      </c>
      <c r="N2" s="363"/>
      <c r="O2" s="363"/>
      <c r="P2" s="363"/>
      <c r="Q2" s="362" t="n">
        <v>11</v>
      </c>
      <c r="R2" s="363"/>
      <c r="S2" s="363"/>
      <c r="T2" s="363"/>
      <c r="U2" s="362" t="n">
        <v>12</v>
      </c>
      <c r="V2" s="363"/>
      <c r="W2" s="363"/>
      <c r="X2" s="363"/>
      <c r="Y2" s="363" t="n">
        <v>1</v>
      </c>
      <c r="Z2" s="363"/>
      <c r="AA2" s="363"/>
      <c r="AB2" s="363"/>
      <c r="AC2" s="363" t="n">
        <v>2</v>
      </c>
      <c r="AD2" s="363"/>
      <c r="AE2" s="363"/>
      <c r="AF2" s="363"/>
      <c r="AG2" s="363" t="n">
        <v>3</v>
      </c>
      <c r="AH2" s="363"/>
      <c r="AI2" s="363"/>
      <c r="AJ2" s="363"/>
      <c r="AK2" s="363" t="n">
        <v>4</v>
      </c>
      <c r="AL2" s="363"/>
      <c r="AM2" s="363"/>
      <c r="AN2" s="363"/>
      <c r="AO2" s="363" t="n">
        <v>5</v>
      </c>
      <c r="AP2" s="363"/>
      <c r="AQ2" s="363"/>
      <c r="AR2" s="363"/>
      <c r="AS2" s="363" t="n">
        <v>6</v>
      </c>
      <c r="AT2" s="363"/>
      <c r="AU2" s="363"/>
      <c r="AV2" s="363"/>
      <c r="AW2" s="363" t="n">
        <v>7</v>
      </c>
      <c r="AX2" s="363"/>
      <c r="AY2" s="363"/>
      <c r="AZ2" s="363"/>
      <c r="BA2" s="363" t="n">
        <v>8</v>
      </c>
      <c r="BB2" s="363"/>
      <c r="BC2" s="363"/>
      <c r="BD2" s="363"/>
      <c r="BE2" s="363" t="n">
        <v>9</v>
      </c>
      <c r="BF2" s="363"/>
      <c r="BG2" s="363"/>
      <c r="BH2" s="363"/>
      <c r="BI2" s="363" t="n">
        <v>10</v>
      </c>
      <c r="BJ2" s="363"/>
      <c r="BK2" s="363"/>
      <c r="BL2" s="363"/>
      <c r="BM2" s="363" t="n">
        <v>11</v>
      </c>
      <c r="BN2" s="363"/>
      <c r="BO2" s="363"/>
      <c r="BP2" s="363"/>
      <c r="BQ2" s="363" t="n">
        <v>12</v>
      </c>
      <c r="BR2" s="363"/>
      <c r="BS2" s="363"/>
      <c r="BT2" s="363"/>
      <c r="BU2" s="363" t="n">
        <v>1</v>
      </c>
      <c r="BV2" s="363"/>
      <c r="BW2" s="363"/>
      <c r="BX2" s="363"/>
      <c r="BY2" s="364" t="n">
        <v>2</v>
      </c>
      <c r="BZ2" s="364"/>
      <c r="CA2" s="364"/>
      <c r="CB2" s="364"/>
      <c r="CC2" s="364" t="n">
        <v>3</v>
      </c>
      <c r="CD2" s="364"/>
      <c r="CE2" s="364"/>
      <c r="CF2" s="364"/>
      <c r="CG2" s="364" t="n">
        <v>4</v>
      </c>
      <c r="CH2" s="364"/>
      <c r="CI2" s="364"/>
      <c r="CJ2" s="364"/>
      <c r="CK2" s="364" t="n">
        <v>5</v>
      </c>
      <c r="CL2" s="364"/>
      <c r="CM2" s="364"/>
      <c r="CN2" s="364"/>
      <c r="CO2" s="364" t="n">
        <v>6</v>
      </c>
      <c r="CP2" s="364"/>
      <c r="CQ2" s="364"/>
      <c r="CR2" s="364"/>
      <c r="CS2" s="364" t="n">
        <v>7</v>
      </c>
      <c r="CT2" s="364"/>
      <c r="CU2" s="364"/>
      <c r="CV2" s="364"/>
      <c r="CW2" s="364" t="n">
        <v>8</v>
      </c>
      <c r="CX2" s="364"/>
      <c r="CY2" s="364"/>
      <c r="CZ2" s="364"/>
      <c r="DA2" s="364" t="n">
        <v>9</v>
      </c>
      <c r="DB2" s="364"/>
      <c r="DC2" s="364"/>
      <c r="DD2" s="364"/>
      <c r="DE2" s="364" t="n">
        <v>10</v>
      </c>
      <c r="DF2" s="364"/>
      <c r="DG2" s="364"/>
      <c r="DH2" s="364"/>
      <c r="DI2" s="364" t="n">
        <v>11</v>
      </c>
      <c r="DJ2" s="364"/>
      <c r="DK2" s="364"/>
      <c r="DL2" s="364"/>
    </row>
    <row r="3" ht="30" customHeight="1">
      <c r="B3" s="361" t="s">
        <v>175</v>
      </c>
      <c r="C3" s="361"/>
      <c r="D3" s="233" t="s">
        <v>176</v>
      </c>
      <c r="E3" s="230" t="n">
        <v>1</v>
      </c>
      <c r="F3" s="229" t="n">
        <v>2</v>
      </c>
      <c r="G3" s="229" t="n">
        <v>3</v>
      </c>
      <c r="H3" s="229" t="n">
        <v>4</v>
      </c>
      <c r="I3" s="229" t="n">
        <v>1</v>
      </c>
      <c r="J3" s="229" t="n">
        <v>2</v>
      </c>
      <c r="K3" s="229" t="n">
        <v>3</v>
      </c>
      <c r="L3" s="229" t="n">
        <v>4</v>
      </c>
      <c r="M3" s="230" t="n">
        <v>1</v>
      </c>
      <c r="N3" s="229" t="n">
        <v>2</v>
      </c>
      <c r="O3" s="229" t="n">
        <v>3</v>
      </c>
      <c r="P3" s="229" t="n">
        <v>4</v>
      </c>
      <c r="Q3" s="229" t="n">
        <v>1</v>
      </c>
      <c r="R3" s="229" t="n">
        <v>2</v>
      </c>
      <c r="S3" s="229" t="n">
        <v>3</v>
      </c>
      <c r="T3" s="229" t="n">
        <v>4</v>
      </c>
      <c r="U3" s="230" t="n">
        <v>1</v>
      </c>
      <c r="V3" s="229" t="n">
        <v>2</v>
      </c>
      <c r="W3" s="229" t="n">
        <v>3</v>
      </c>
      <c r="X3" s="229" t="n">
        <v>4</v>
      </c>
      <c r="Y3" s="229" t="n">
        <v>1</v>
      </c>
      <c r="Z3" s="229" t="n">
        <v>2</v>
      </c>
      <c r="AA3" s="229" t="n">
        <v>3</v>
      </c>
      <c r="AB3" s="229" t="n">
        <v>4</v>
      </c>
      <c r="AC3" s="230" t="n">
        <v>1</v>
      </c>
      <c r="AD3" s="229" t="n">
        <v>2</v>
      </c>
      <c r="AE3" s="229" t="n">
        <v>3</v>
      </c>
      <c r="AF3" s="229" t="n">
        <v>4</v>
      </c>
      <c r="AG3" s="229" t="n">
        <v>1</v>
      </c>
      <c r="AH3" s="229" t="n">
        <v>2</v>
      </c>
      <c r="AI3" s="229" t="n">
        <v>3</v>
      </c>
      <c r="AJ3" s="229" t="n">
        <v>4</v>
      </c>
      <c r="AK3" s="230" t="n">
        <v>1</v>
      </c>
      <c r="AL3" s="229" t="n">
        <v>2</v>
      </c>
      <c r="AM3" s="229" t="n">
        <v>3</v>
      </c>
      <c r="AN3" s="229" t="n">
        <v>4</v>
      </c>
      <c r="AO3" s="229" t="n">
        <v>1</v>
      </c>
      <c r="AP3" s="229" t="n">
        <v>2</v>
      </c>
      <c r="AQ3" s="229" t="n">
        <v>3</v>
      </c>
      <c r="AR3" s="229" t="n">
        <v>4</v>
      </c>
      <c r="AS3" s="230" t="n">
        <v>1</v>
      </c>
      <c r="AT3" s="229" t="n">
        <v>2</v>
      </c>
      <c r="AU3" s="229" t="n">
        <v>3</v>
      </c>
      <c r="AV3" s="229" t="n">
        <v>4</v>
      </c>
      <c r="AW3" s="229" t="n">
        <v>1</v>
      </c>
      <c r="AX3" s="229" t="n">
        <v>2</v>
      </c>
      <c r="AY3" s="229" t="n">
        <v>3</v>
      </c>
      <c r="AZ3" s="229" t="n">
        <v>4</v>
      </c>
      <c r="BA3" s="230" t="n">
        <v>1</v>
      </c>
      <c r="BB3" s="229" t="n">
        <v>2</v>
      </c>
      <c r="BC3" s="229" t="n">
        <v>3</v>
      </c>
      <c r="BD3" s="229" t="n">
        <v>4</v>
      </c>
      <c r="BE3" s="229" t="n">
        <v>1</v>
      </c>
      <c r="BF3" s="229" t="n">
        <v>2</v>
      </c>
      <c r="BG3" s="229" t="n">
        <v>3</v>
      </c>
      <c r="BH3" s="229" t="n">
        <v>4</v>
      </c>
      <c r="BI3" s="230" t="n">
        <v>1</v>
      </c>
      <c r="BJ3" s="229" t="n">
        <v>2</v>
      </c>
      <c r="BK3" s="229" t="n">
        <v>3</v>
      </c>
      <c r="BL3" s="229" t="n">
        <v>4</v>
      </c>
      <c r="BM3" s="229" t="n">
        <v>1</v>
      </c>
      <c r="BN3" s="229" t="n">
        <v>2</v>
      </c>
      <c r="BO3" s="229" t="n">
        <v>3</v>
      </c>
      <c r="BP3" s="229" t="n">
        <v>4</v>
      </c>
      <c r="BQ3" s="231" t="n">
        <v>1</v>
      </c>
      <c r="BR3" s="231" t="n">
        <v>2</v>
      </c>
      <c r="BS3" s="231" t="n">
        <v>3</v>
      </c>
      <c r="BT3" s="231" t="n">
        <v>4</v>
      </c>
      <c r="BU3" s="231" t="n">
        <v>1</v>
      </c>
      <c r="BV3" s="231" t="n">
        <v>2</v>
      </c>
      <c r="BW3" s="231" t="n">
        <v>3</v>
      </c>
      <c r="BX3" s="217" t="n">
        <v>4</v>
      </c>
      <c r="BY3" s="229" t="n">
        <v>1</v>
      </c>
      <c r="BZ3" s="231" t="n">
        <v>2</v>
      </c>
      <c r="CA3" s="231" t="n">
        <v>3</v>
      </c>
      <c r="CB3" s="231" t="n">
        <v>4</v>
      </c>
      <c r="CC3" s="231" t="n">
        <v>1</v>
      </c>
      <c r="CD3" s="231" t="n">
        <v>2</v>
      </c>
      <c r="CE3" s="231" t="n">
        <v>3</v>
      </c>
      <c r="CF3" s="231" t="n">
        <v>4</v>
      </c>
      <c r="CG3" s="231" t="n">
        <v>1</v>
      </c>
      <c r="CH3" s="231" t="n">
        <v>2</v>
      </c>
      <c r="CI3" s="231" t="n">
        <v>3</v>
      </c>
      <c r="CJ3" s="231" t="n">
        <v>4</v>
      </c>
      <c r="CK3" s="231" t="n">
        <v>1</v>
      </c>
      <c r="CL3" s="231" t="n">
        <v>2</v>
      </c>
      <c r="CM3" s="231" t="n">
        <v>3</v>
      </c>
      <c r="CN3" s="231" t="n">
        <v>4</v>
      </c>
      <c r="CO3" s="231" t="n">
        <v>1</v>
      </c>
      <c r="CP3" s="231" t="n">
        <v>2</v>
      </c>
      <c r="CQ3" s="231" t="n">
        <v>3</v>
      </c>
      <c r="CR3" s="231" t="n">
        <v>4</v>
      </c>
      <c r="CS3" s="231" t="n">
        <v>1</v>
      </c>
      <c r="CT3" s="231" t="n">
        <v>2</v>
      </c>
      <c r="CU3" s="231" t="n">
        <v>3</v>
      </c>
      <c r="CV3" s="231" t="n">
        <v>4</v>
      </c>
      <c r="CW3" s="231" t="n">
        <v>1</v>
      </c>
      <c r="CX3" s="231" t="n">
        <v>2</v>
      </c>
      <c r="CY3" s="231" t="n">
        <v>3</v>
      </c>
      <c r="CZ3" s="231" t="n">
        <v>4</v>
      </c>
      <c r="DA3" s="231" t="n">
        <v>1</v>
      </c>
      <c r="DB3" s="231" t="n">
        <v>2</v>
      </c>
      <c r="DC3" s="231" t="n">
        <v>3</v>
      </c>
      <c r="DD3" s="231" t="n">
        <v>4</v>
      </c>
      <c r="DE3" s="234" t="n">
        <v>1</v>
      </c>
      <c r="DF3" s="234" t="n">
        <v>2</v>
      </c>
      <c r="DG3" s="234" t="n">
        <v>3</v>
      </c>
      <c r="DH3" s="234" t="n">
        <v>4</v>
      </c>
      <c r="DI3" s="234" t="n">
        <v>1</v>
      </c>
      <c r="DJ3" s="234" t="n">
        <v>2</v>
      </c>
      <c r="DK3" s="234" t="n">
        <v>3</v>
      </c>
      <c r="DL3" s="234" t="n">
        <v>4</v>
      </c>
    </row>
    <row r="4" ht="30" customHeight="1">
      <c r="B4" s="367" t="s">
        <v>177</v>
      </c>
      <c r="C4" s="7" t="s">
        <v>178</v>
      </c>
      <c r="D4" s="46" t="s">
        <v>179</v>
      </c>
      <c r="E4" s="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86"/>
      <c r="R4" s="86"/>
      <c r="S4" s="86"/>
      <c r="T4" s="86"/>
      <c r="U4" s="86"/>
      <c r="V4" s="86"/>
      <c r="W4" s="207"/>
      <c r="X4" s="50"/>
      <c r="Y4" s="50"/>
      <c r="Z4" s="207"/>
      <c r="AA4" s="207"/>
      <c r="AB4" s="471" t="s">
        <v>180</v>
      </c>
      <c r="AC4" s="207"/>
      <c r="AD4" s="207"/>
      <c r="AE4" s="50"/>
      <c r="AF4" s="50"/>
      <c r="AG4" s="50"/>
      <c r="AH4" s="50"/>
      <c r="AI4" s="50"/>
      <c r="AJ4" s="50"/>
      <c r="AK4" s="50"/>
      <c r="AL4" s="50"/>
      <c r="AM4" s="57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89"/>
      <c r="BB4" s="89"/>
      <c r="BC4" s="89"/>
      <c r="BD4" s="8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0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5"/>
    </row>
    <row r="5" ht="30" customHeight="1">
      <c r="B5" s="367"/>
      <c r="C5" s="193" t="s">
        <v>181</v>
      </c>
      <c r="D5" s="199" t="s">
        <v>182</v>
      </c>
      <c r="E5" s="9"/>
      <c r="F5" s="50"/>
      <c r="G5" s="50"/>
      <c r="H5" s="50"/>
      <c r="I5" s="50"/>
      <c r="J5" s="50"/>
      <c r="K5" s="50"/>
      <c r="L5" s="50"/>
      <c r="M5" s="86"/>
      <c r="N5" s="86"/>
      <c r="O5" s="86"/>
      <c r="P5" s="80"/>
      <c r="Q5" s="86"/>
      <c r="R5" s="86"/>
      <c r="S5" s="86"/>
      <c r="T5" s="86"/>
      <c r="U5" s="70"/>
      <c r="V5" s="86"/>
      <c r="W5" s="86"/>
      <c r="X5" s="86"/>
      <c r="Y5" s="86"/>
      <c r="Z5" s="86"/>
      <c r="AA5" s="86"/>
      <c r="AB5" s="86"/>
      <c r="AC5" s="86"/>
      <c r="AD5" s="86"/>
      <c r="AE5" s="86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46"/>
      <c r="AT5" s="245"/>
      <c r="AU5" s="243"/>
      <c r="AV5" s="243"/>
      <c r="AW5" s="243"/>
      <c r="AX5" s="46"/>
      <c r="AY5" s="46"/>
      <c r="AZ5" s="46"/>
      <c r="BA5" s="46"/>
      <c r="BB5" s="237"/>
      <c r="BC5" s="89"/>
      <c r="BD5" s="8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0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5"/>
    </row>
    <row r="6" ht="16.5" customHeight="1">
      <c r="B6" s="367"/>
      <c r="C6" s="208" t="s">
        <v>183</v>
      </c>
      <c r="D6" s="200" t="s">
        <v>184</v>
      </c>
      <c r="E6" s="9"/>
      <c r="F6" s="50"/>
      <c r="G6" s="50"/>
      <c r="H6" s="50"/>
      <c r="I6" s="50"/>
      <c r="J6" s="50"/>
      <c r="K6" s="50"/>
      <c r="L6" s="50"/>
      <c r="M6" s="86"/>
      <c r="N6" s="86"/>
      <c r="O6" s="86"/>
      <c r="P6" s="80"/>
      <c r="Q6" s="86"/>
      <c r="R6" s="86"/>
      <c r="S6" s="86"/>
      <c r="T6" s="86"/>
      <c r="U6" s="70"/>
      <c r="V6" s="86"/>
      <c r="W6" s="86"/>
      <c r="X6" s="86"/>
      <c r="Y6" s="86"/>
      <c r="Z6" s="86"/>
      <c r="AA6" s="86"/>
      <c r="AB6" s="86"/>
      <c r="AC6" s="86"/>
      <c r="AD6" s="86"/>
      <c r="AE6" s="86"/>
      <c r="AF6" s="50"/>
      <c r="AG6" s="50"/>
      <c r="AH6" s="50"/>
      <c r="AI6" s="50"/>
      <c r="AJ6" s="50"/>
      <c r="AK6" s="50"/>
      <c r="AL6" s="50"/>
      <c r="AM6" s="57"/>
      <c r="AN6" s="50"/>
      <c r="AO6" s="50"/>
      <c r="AP6" s="23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98"/>
      <c r="BF6" s="198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0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5"/>
    </row>
    <row r="7" ht="30" customHeight="1">
      <c r="B7" s="367"/>
      <c r="C7" s="209" t="s">
        <v>185</v>
      </c>
      <c r="D7" s="204" t="s">
        <v>184</v>
      </c>
      <c r="E7" s="19"/>
      <c r="F7" s="46"/>
      <c r="G7" s="50"/>
      <c r="H7" s="50"/>
      <c r="I7" s="50"/>
      <c r="J7" s="50"/>
      <c r="K7" s="50"/>
      <c r="L7" s="50"/>
      <c r="M7" s="86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89"/>
      <c r="BB7" s="89"/>
      <c r="BC7" s="89"/>
      <c r="BD7" s="89"/>
      <c r="BE7" s="226" t="s">
        <v>185</v>
      </c>
      <c r="BF7" s="226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0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</row>
    <row r="8" ht="30" customHeight="1">
      <c r="B8" s="367"/>
      <c r="C8" s="209" t="s">
        <v>186</v>
      </c>
      <c r="D8" s="204" t="s">
        <v>182</v>
      </c>
      <c r="E8" s="19"/>
      <c r="F8" s="46"/>
      <c r="G8" s="50"/>
      <c r="H8" s="50"/>
      <c r="I8" s="50"/>
      <c r="J8" s="50"/>
      <c r="K8" s="50"/>
      <c r="L8" s="50"/>
      <c r="M8" s="86"/>
      <c r="N8" s="86"/>
      <c r="O8" s="189"/>
      <c r="P8" s="190"/>
      <c r="Q8" s="189"/>
      <c r="R8" s="189"/>
      <c r="S8" s="50"/>
      <c r="T8" s="50"/>
      <c r="U8" s="9"/>
      <c r="V8" s="50"/>
      <c r="W8" s="50"/>
      <c r="X8" s="46"/>
      <c r="Y8" s="46"/>
      <c r="Z8" s="207"/>
      <c r="AA8" s="207"/>
      <c r="AB8" s="46"/>
      <c r="AC8" s="50"/>
      <c r="AD8" s="207"/>
      <c r="AE8" s="46"/>
      <c r="AF8" s="50"/>
      <c r="AG8" s="50"/>
      <c r="AH8" s="50"/>
      <c r="AI8" s="50"/>
      <c r="AJ8" s="50"/>
      <c r="AK8" s="50"/>
      <c r="AL8" s="207"/>
      <c r="AM8" s="207"/>
      <c r="AN8" s="207"/>
      <c r="AO8" s="207"/>
      <c r="AP8" s="207"/>
      <c r="AQ8" s="207"/>
      <c r="AR8" s="207"/>
      <c r="AS8" s="46"/>
      <c r="AT8" s="207"/>
      <c r="AU8" s="46"/>
      <c r="AV8" s="46"/>
      <c r="AW8" s="46"/>
      <c r="AX8" s="46"/>
      <c r="AY8" s="46"/>
      <c r="AZ8" s="46"/>
      <c r="BA8" s="207"/>
      <c r="BB8" s="206"/>
      <c r="BC8" s="89"/>
      <c r="BD8" s="8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0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</row>
    <row r="9" ht="30" customHeight="1">
      <c r="B9" s="367"/>
      <c r="C9" s="208" t="s">
        <v>187</v>
      </c>
      <c r="D9" s="103" t="s">
        <v>182</v>
      </c>
      <c r="E9" s="9"/>
      <c r="F9" s="50"/>
      <c r="G9" s="50"/>
      <c r="H9" s="50"/>
      <c r="I9" s="50"/>
      <c r="J9" s="50"/>
      <c r="K9" s="50"/>
      <c r="L9" s="50"/>
      <c r="M9" s="86"/>
      <c r="N9" s="86"/>
      <c r="O9" s="86"/>
      <c r="P9" s="80"/>
      <c r="Q9" s="86"/>
      <c r="R9" s="86"/>
      <c r="S9" s="86"/>
      <c r="T9" s="86"/>
      <c r="U9" s="70"/>
      <c r="V9" s="86"/>
      <c r="W9" s="86"/>
      <c r="X9" s="86"/>
      <c r="Y9" s="86"/>
      <c r="Z9" s="86"/>
      <c r="AA9" s="86"/>
      <c r="AB9" s="86"/>
      <c r="AC9" s="86"/>
      <c r="AD9" s="86"/>
      <c r="AE9" s="86"/>
      <c r="AF9" s="50"/>
      <c r="AG9" s="50"/>
      <c r="AH9" s="50"/>
      <c r="AI9" s="50"/>
      <c r="AJ9" s="50"/>
      <c r="AK9" s="50"/>
      <c r="AL9" s="50"/>
      <c r="AM9" s="50"/>
      <c r="AN9" s="50"/>
      <c r="AO9" s="207"/>
      <c r="AP9" s="207"/>
      <c r="AQ9" s="207"/>
      <c r="AR9" s="207"/>
      <c r="AS9" s="46"/>
      <c r="AT9" s="46"/>
      <c r="AU9" s="243"/>
      <c r="AV9" s="241"/>
      <c r="AW9" s="243"/>
      <c r="AX9" s="46"/>
      <c r="AY9" s="46"/>
      <c r="AZ9" s="46"/>
      <c r="BA9" s="46"/>
      <c r="BB9" s="206"/>
      <c r="BC9" s="89"/>
      <c r="BD9" s="8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0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5"/>
    </row>
    <row r="10" ht="30" customHeight="1">
      <c r="B10" s="367"/>
      <c r="C10" s="209" t="s">
        <v>188</v>
      </c>
      <c r="D10" s="201" t="s">
        <v>182</v>
      </c>
      <c r="E10" s="19"/>
      <c r="F10" s="46"/>
      <c r="G10" s="50"/>
      <c r="H10" s="50"/>
      <c r="I10" s="50"/>
      <c r="J10" s="50"/>
      <c r="K10" s="50"/>
      <c r="L10" s="57"/>
      <c r="M10" s="50"/>
      <c r="N10" s="50"/>
      <c r="O10" s="189"/>
      <c r="P10" s="190"/>
      <c r="Q10" s="189"/>
      <c r="R10" s="189"/>
      <c r="S10" s="50"/>
      <c r="T10" s="50"/>
      <c r="U10" s="50"/>
      <c r="V10" s="46"/>
      <c r="W10" s="207"/>
      <c r="X10" s="207"/>
      <c r="Y10" s="207"/>
      <c r="Z10" s="207"/>
      <c r="AA10" s="207"/>
      <c r="AB10" s="207"/>
      <c r="AC10" s="207"/>
      <c r="AD10" s="207"/>
      <c r="AE10" s="46"/>
      <c r="AF10" s="50"/>
      <c r="AG10" s="50"/>
      <c r="AH10" s="50"/>
      <c r="AI10" s="50"/>
      <c r="AJ10" s="50"/>
      <c r="AK10" s="50"/>
      <c r="AL10" s="50"/>
      <c r="AM10" s="50"/>
      <c r="AN10" s="50"/>
      <c r="AO10" s="207"/>
      <c r="AP10" s="207"/>
      <c r="AQ10" s="207"/>
      <c r="AR10" s="207"/>
      <c r="AS10" s="239"/>
      <c r="AT10" s="207"/>
      <c r="AU10" s="244"/>
      <c r="AV10" s="241"/>
      <c r="AW10" s="241"/>
      <c r="AX10" s="46"/>
      <c r="AY10" s="46"/>
      <c r="AZ10" s="46"/>
      <c r="BA10" s="236"/>
      <c r="BB10" s="206"/>
      <c r="BC10" s="89"/>
      <c r="BD10" s="8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0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</row>
    <row r="11" ht="28.5" customHeight="1">
      <c r="B11" s="367"/>
      <c r="C11" s="208" t="s">
        <v>189</v>
      </c>
      <c r="D11" s="200" t="s">
        <v>182</v>
      </c>
      <c r="E11" s="9"/>
      <c r="F11" s="50"/>
      <c r="G11" s="50"/>
      <c r="H11" s="50"/>
      <c r="I11" s="50"/>
      <c r="J11" s="50"/>
      <c r="K11" s="50"/>
      <c r="L11" s="50"/>
      <c r="M11" s="86"/>
      <c r="N11" s="86"/>
      <c r="O11" s="86"/>
      <c r="P11" s="80"/>
      <c r="Q11" s="86"/>
      <c r="R11" s="86"/>
      <c r="S11" s="86"/>
      <c r="T11" s="86"/>
      <c r="U11" s="70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50"/>
      <c r="AG11" s="50"/>
      <c r="AH11" s="50"/>
      <c r="AI11" s="50"/>
      <c r="AJ11" s="50"/>
      <c r="AK11" s="50"/>
      <c r="AL11" s="50"/>
      <c r="AM11" s="50"/>
      <c r="AN11" s="50"/>
      <c r="AO11" s="207"/>
      <c r="AP11" s="239"/>
      <c r="AQ11" s="241"/>
      <c r="AR11" s="207"/>
      <c r="AS11" s="207"/>
      <c r="AT11" s="239"/>
      <c r="AU11" s="242"/>
      <c r="AV11" s="241"/>
      <c r="AW11" s="206"/>
      <c r="AX11" s="50"/>
      <c r="AY11" s="50"/>
      <c r="AZ11" s="50"/>
      <c r="BA11" s="89"/>
      <c r="BB11" s="89"/>
      <c r="BC11" s="89"/>
      <c r="BD11" s="8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0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5"/>
    </row>
    <row r="12" ht="16.5" customHeight="1">
      <c r="B12" s="367"/>
      <c r="C12" s="193" t="s">
        <v>190</v>
      </c>
      <c r="D12" s="200" t="s">
        <v>182</v>
      </c>
      <c r="E12" s="9"/>
      <c r="F12" s="50"/>
      <c r="G12" s="50"/>
      <c r="H12" s="50"/>
      <c r="I12" s="50"/>
      <c r="J12" s="50"/>
      <c r="K12" s="50"/>
      <c r="L12" s="50"/>
      <c r="M12" s="86"/>
      <c r="N12" s="86"/>
      <c r="O12" s="86"/>
      <c r="P12" s="80"/>
      <c r="Q12" s="86"/>
      <c r="R12" s="86"/>
      <c r="S12" s="86"/>
      <c r="T12" s="86"/>
      <c r="U12" s="70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50"/>
      <c r="AG12" s="50"/>
      <c r="AH12" s="50"/>
      <c r="AI12" s="50"/>
      <c r="AJ12" s="50"/>
      <c r="AK12" s="50"/>
      <c r="AL12" s="50"/>
      <c r="AM12" s="50"/>
      <c r="AN12" s="50"/>
      <c r="AO12" s="238"/>
      <c r="AP12" s="239"/>
      <c r="AQ12" s="241"/>
      <c r="AR12" s="238"/>
      <c r="AS12" s="238"/>
      <c r="AT12" s="111"/>
      <c r="AU12" s="111"/>
      <c r="AV12" s="238"/>
      <c r="AW12" s="111"/>
      <c r="AX12" s="111"/>
      <c r="AY12" s="111"/>
      <c r="AZ12" s="111"/>
      <c r="BA12" s="206"/>
      <c r="BB12" s="89"/>
      <c r="BC12" s="89"/>
      <c r="BD12" s="8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0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5"/>
    </row>
    <row r="13" ht="30" customHeight="1">
      <c r="B13" s="367"/>
      <c r="C13" s="193" t="s">
        <v>191</v>
      </c>
      <c r="D13" s="200" t="s">
        <v>182</v>
      </c>
      <c r="E13" s="9"/>
      <c r="F13" s="50"/>
      <c r="G13" s="50"/>
      <c r="H13" s="50"/>
      <c r="I13" s="50"/>
      <c r="J13" s="50"/>
      <c r="K13" s="50"/>
      <c r="L13" s="50"/>
      <c r="M13" s="86"/>
      <c r="N13" s="86"/>
      <c r="O13" s="86"/>
      <c r="P13" s="80"/>
      <c r="Q13" s="86"/>
      <c r="R13" s="86"/>
      <c r="S13" s="86"/>
      <c r="T13" s="86"/>
      <c r="U13" s="70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50"/>
      <c r="AG13" s="50"/>
      <c r="AH13" s="50"/>
      <c r="AI13" s="50"/>
      <c r="AJ13" s="206"/>
      <c r="AK13" s="50"/>
      <c r="AL13" s="50"/>
      <c r="AM13" s="57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89"/>
      <c r="BB13" s="89"/>
      <c r="BC13" s="89"/>
      <c r="BD13" s="8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0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5"/>
    </row>
    <row r="14" ht="16.5" customHeight="1">
      <c r="B14" s="367"/>
      <c r="C14" s="208" t="s">
        <v>192</v>
      </c>
      <c r="D14" s="200" t="s">
        <v>182</v>
      </c>
      <c r="E14" s="9"/>
      <c r="F14" s="50"/>
      <c r="G14" s="50"/>
      <c r="H14" s="50"/>
      <c r="I14" s="50"/>
      <c r="J14" s="50"/>
      <c r="K14" s="50"/>
      <c r="L14" s="50"/>
      <c r="M14" s="86"/>
      <c r="N14" s="86"/>
      <c r="O14" s="86"/>
      <c r="P14" s="80"/>
      <c r="Q14" s="86"/>
      <c r="R14" s="86"/>
      <c r="S14" s="86"/>
      <c r="T14" s="86"/>
      <c r="U14" s="70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07"/>
      <c r="AS14" s="207"/>
      <c r="AT14" s="207"/>
      <c r="AU14" s="50"/>
      <c r="AV14" s="207"/>
      <c r="AW14" s="206"/>
      <c r="AX14" s="50"/>
      <c r="AY14" s="50"/>
      <c r="AZ14" s="50"/>
      <c r="BA14" s="89"/>
      <c r="BB14" s="89"/>
      <c r="BC14" s="89"/>
      <c r="BD14" s="8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0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5"/>
    </row>
    <row r="15" ht="30" customHeight="1">
      <c r="B15" s="367"/>
      <c r="C15" s="208" t="s">
        <v>193</v>
      </c>
      <c r="D15" s="200" t="s">
        <v>182</v>
      </c>
      <c r="E15" s="9"/>
      <c r="F15" s="50"/>
      <c r="G15" s="50"/>
      <c r="H15" s="50"/>
      <c r="I15" s="50"/>
      <c r="J15" s="50"/>
      <c r="K15" s="50"/>
      <c r="L15" s="50"/>
      <c r="M15" s="86"/>
      <c r="N15" s="86"/>
      <c r="O15" s="86"/>
      <c r="P15" s="80"/>
      <c r="Q15" s="86"/>
      <c r="R15" s="86"/>
      <c r="S15" s="86"/>
      <c r="T15" s="86"/>
      <c r="U15" s="70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38"/>
      <c r="AS15" s="207"/>
      <c r="AT15" s="207"/>
      <c r="AU15" s="50"/>
      <c r="AV15" s="206"/>
      <c r="AW15" s="50"/>
      <c r="AX15" s="50"/>
      <c r="AY15" s="50"/>
      <c r="AZ15" s="50"/>
      <c r="BA15" s="89"/>
      <c r="BB15" s="89"/>
      <c r="BC15" s="89"/>
      <c r="BD15" s="8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0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5"/>
    </row>
    <row r="16" ht="16.5" customHeight="1">
      <c r="B16" s="367"/>
      <c r="C16" s="208" t="s">
        <v>194</v>
      </c>
      <c r="D16" s="200" t="s">
        <v>182</v>
      </c>
      <c r="E16" s="9"/>
      <c r="F16" s="50"/>
      <c r="G16" s="50"/>
      <c r="H16" s="50"/>
      <c r="I16" s="50"/>
      <c r="J16" s="50"/>
      <c r="K16" s="50"/>
      <c r="L16" s="50"/>
      <c r="M16" s="57"/>
      <c r="N16" s="86"/>
      <c r="O16" s="86"/>
      <c r="P16" s="80"/>
      <c r="Q16" s="86"/>
      <c r="R16" s="86"/>
      <c r="S16" s="86"/>
      <c r="T16" s="86"/>
      <c r="U16" s="70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50"/>
      <c r="AG16" s="50"/>
      <c r="AH16" s="50"/>
      <c r="AI16" s="50"/>
      <c r="AJ16" s="50"/>
      <c r="AK16" s="50"/>
      <c r="AL16" s="50"/>
      <c r="AM16" s="50"/>
      <c r="AN16" s="238"/>
      <c r="AO16" s="207"/>
      <c r="AP16" s="207"/>
      <c r="AQ16" s="46"/>
      <c r="AR16" s="207"/>
      <c r="AS16" s="207"/>
      <c r="AT16" s="46"/>
      <c r="AU16" s="207"/>
      <c r="AV16" s="238"/>
      <c r="AW16" s="111"/>
      <c r="AX16" s="111"/>
      <c r="AY16" s="111"/>
      <c r="AZ16" s="111"/>
      <c r="BA16" s="111"/>
      <c r="BB16" s="206"/>
      <c r="BC16" s="89"/>
      <c r="BD16" s="8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0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5"/>
    </row>
    <row r="17" ht="30" customHeight="1">
      <c r="B17" s="367"/>
      <c r="C17" s="209" t="s">
        <v>195</v>
      </c>
      <c r="D17" s="202" t="s">
        <v>182</v>
      </c>
      <c r="E17" s="19"/>
      <c r="F17" s="46"/>
      <c r="G17" s="50"/>
      <c r="H17" s="50"/>
      <c r="I17" s="50"/>
      <c r="J17" s="50"/>
      <c r="K17" s="50"/>
      <c r="L17" s="50"/>
      <c r="M17" s="33"/>
      <c r="N17" s="50"/>
      <c r="O17" s="207"/>
      <c r="P17" s="207"/>
      <c r="Q17" s="207"/>
      <c r="R17" s="207"/>
      <c r="S17" s="70"/>
      <c r="T17" s="86"/>
      <c r="U17" s="70"/>
      <c r="V17" s="86"/>
      <c r="W17" s="86"/>
      <c r="X17" s="50"/>
      <c r="Y17" s="50"/>
      <c r="Z17" s="50"/>
      <c r="AA17" s="207"/>
      <c r="AB17" s="207"/>
      <c r="AC17" s="207"/>
      <c r="AD17" s="207"/>
      <c r="AE17" s="50"/>
      <c r="AF17" s="50"/>
      <c r="AG17" s="50"/>
      <c r="AH17" s="50"/>
      <c r="AI17" s="50"/>
      <c r="AJ17" s="50"/>
      <c r="AK17" s="50"/>
      <c r="AL17" s="50"/>
      <c r="AM17" s="57"/>
      <c r="AN17" s="57"/>
      <c r="AO17" s="50"/>
      <c r="AP17" s="50"/>
      <c r="AQ17" s="50"/>
      <c r="AR17" s="50"/>
      <c r="AS17" s="236"/>
      <c r="AT17" s="238"/>
      <c r="AU17" s="111"/>
      <c r="AV17" s="111"/>
      <c r="AW17" s="238"/>
      <c r="AX17" s="111"/>
      <c r="AY17" s="111"/>
      <c r="AZ17" s="111"/>
      <c r="BA17" s="111"/>
      <c r="BB17" s="206"/>
      <c r="BC17" s="89"/>
      <c r="BD17" s="8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0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</row>
    <row r="18" ht="30" customHeight="1">
      <c r="B18" s="367"/>
      <c r="C18" s="184" t="s">
        <v>196</v>
      </c>
      <c r="D18" s="228" t="s">
        <v>197</v>
      </c>
      <c r="E18" s="19"/>
      <c r="F18" s="46"/>
      <c r="G18" s="50"/>
      <c r="H18" s="50"/>
      <c r="I18" s="50"/>
      <c r="J18" s="50"/>
      <c r="K18" s="50"/>
      <c r="L18" s="50"/>
      <c r="M18" s="57"/>
      <c r="N18" s="50"/>
      <c r="O18" s="207"/>
      <c r="P18" s="207"/>
      <c r="Q18" s="207"/>
      <c r="R18" s="207"/>
      <c r="S18" s="70"/>
      <c r="T18" s="86"/>
      <c r="U18" s="70"/>
      <c r="V18" s="86"/>
      <c r="W18" s="86"/>
      <c r="X18" s="50"/>
      <c r="Y18" s="50"/>
      <c r="Z18" s="50"/>
      <c r="AA18" s="207"/>
      <c r="AB18" s="50"/>
      <c r="AC18" s="50"/>
      <c r="AD18" s="207"/>
      <c r="AE18" s="50"/>
      <c r="AF18" s="50"/>
      <c r="AG18" s="50"/>
      <c r="AH18" s="50"/>
      <c r="AI18" s="50"/>
      <c r="AJ18" s="50"/>
      <c r="AK18" s="50"/>
      <c r="AL18" s="50"/>
      <c r="AM18" s="57"/>
      <c r="AN18" s="57"/>
      <c r="AO18" s="50"/>
      <c r="AP18" s="50"/>
      <c r="AQ18" s="50"/>
      <c r="AR18" s="50"/>
      <c r="AS18" s="238"/>
      <c r="AT18" s="238"/>
      <c r="AU18" s="111"/>
      <c r="AV18" s="111"/>
      <c r="AW18" s="238"/>
      <c r="AX18" s="111"/>
      <c r="AY18" s="111"/>
      <c r="AZ18" s="111"/>
      <c r="BA18" s="111"/>
      <c r="BB18" s="237"/>
      <c r="BC18" s="89"/>
      <c r="BD18" s="8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0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</row>
    <row r="19" ht="30" customHeight="1">
      <c r="B19" s="367"/>
      <c r="C19" s="209" t="s">
        <v>198</v>
      </c>
      <c r="D19" s="228" t="s">
        <v>197</v>
      </c>
      <c r="E19" s="19"/>
      <c r="F19" s="46"/>
      <c r="G19" s="50"/>
      <c r="H19" s="50"/>
      <c r="I19" s="50"/>
      <c r="J19" s="50"/>
      <c r="K19" s="50"/>
      <c r="L19" s="50"/>
      <c r="M19" s="57"/>
      <c r="N19" s="50"/>
      <c r="O19" s="46"/>
      <c r="P19" s="46"/>
      <c r="Q19" s="46"/>
      <c r="R19" s="46"/>
      <c r="S19" s="70"/>
      <c r="T19" s="86"/>
      <c r="U19" s="70"/>
      <c r="V19" s="86"/>
      <c r="W19" s="86"/>
      <c r="X19" s="86"/>
      <c r="Y19" s="50"/>
      <c r="Z19" s="207"/>
      <c r="AA19" s="207"/>
      <c r="AB19" s="50"/>
      <c r="AC19" s="207"/>
      <c r="AD19" s="207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238"/>
      <c r="AP19" s="238"/>
      <c r="AQ19" s="111"/>
      <c r="AR19" s="111"/>
      <c r="AS19" s="111"/>
      <c r="AT19" s="238"/>
      <c r="AU19" s="111"/>
      <c r="AV19" s="111"/>
      <c r="AW19" s="111"/>
      <c r="AX19" s="111"/>
      <c r="AY19" s="111"/>
      <c r="AZ19" s="111"/>
      <c r="BA19" s="111"/>
      <c r="BB19" s="206"/>
      <c r="BC19" s="89"/>
      <c r="BD19" s="8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0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</row>
    <row r="20" ht="30" customHeight="1">
      <c r="B20" s="367"/>
      <c r="C20" s="184" t="s">
        <v>199</v>
      </c>
      <c r="D20" s="228" t="s">
        <v>197</v>
      </c>
      <c r="E20" s="19"/>
      <c r="F20" s="46"/>
      <c r="G20" s="50"/>
      <c r="H20" s="50"/>
      <c r="I20" s="50"/>
      <c r="J20" s="50"/>
      <c r="K20" s="50"/>
      <c r="L20" s="50"/>
      <c r="M20" s="57"/>
      <c r="N20" s="50"/>
      <c r="O20" s="46"/>
      <c r="P20" s="46"/>
      <c r="Q20" s="46"/>
      <c r="R20" s="46"/>
      <c r="S20" s="70"/>
      <c r="T20" s="50"/>
      <c r="U20" s="50"/>
      <c r="V20" s="50"/>
      <c r="W20" s="50"/>
      <c r="X20" s="50"/>
      <c r="Y20" s="50"/>
      <c r="Z20" s="207"/>
      <c r="AA20" s="207"/>
      <c r="AB20" s="207"/>
      <c r="AC20" s="50"/>
      <c r="AD20" s="207"/>
      <c r="AE20" s="50"/>
      <c r="AF20" s="50"/>
      <c r="AG20" s="50"/>
      <c r="AH20" s="50"/>
      <c r="AI20" s="50"/>
      <c r="AJ20" s="50"/>
      <c r="AK20" s="50"/>
      <c r="AL20" s="50"/>
      <c r="AM20" s="57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238"/>
      <c r="AY20" s="238"/>
      <c r="AZ20" s="238"/>
      <c r="BA20" s="238"/>
      <c r="BB20" s="237"/>
      <c r="BC20" s="89"/>
      <c r="BD20" s="8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0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  <c r="DF20" s="119"/>
      <c r="DG20" s="119"/>
      <c r="DH20" s="119"/>
      <c r="DI20" s="119"/>
      <c r="DJ20" s="119"/>
      <c r="DK20" s="119"/>
      <c r="DL20" s="119"/>
    </row>
    <row r="21" ht="30" customHeight="1">
      <c r="B21" s="367"/>
      <c r="C21" s="184" t="s">
        <v>200</v>
      </c>
      <c r="D21" s="228" t="s">
        <v>201</v>
      </c>
      <c r="E21" s="19"/>
      <c r="F21" s="46"/>
      <c r="G21" s="50"/>
      <c r="H21" s="50"/>
      <c r="I21" s="50"/>
      <c r="J21" s="50"/>
      <c r="K21" s="50"/>
      <c r="L21" s="50"/>
      <c r="M21" s="57"/>
      <c r="N21" s="39"/>
      <c r="O21" s="39"/>
      <c r="P21" s="39"/>
      <c r="Q21" s="39"/>
      <c r="R21" s="51"/>
      <c r="S21" s="86"/>
      <c r="T21" s="86"/>
      <c r="U21" s="70"/>
      <c r="V21" s="86"/>
      <c r="W21" s="86"/>
      <c r="X21" s="50"/>
      <c r="Y21" s="50"/>
      <c r="Z21" s="50"/>
      <c r="AA21" s="207"/>
      <c r="AB21" s="207"/>
      <c r="AC21" s="50"/>
      <c r="AD21" s="50"/>
      <c r="AE21" s="50"/>
      <c r="AF21" s="50"/>
      <c r="AG21" s="50"/>
      <c r="AH21" s="50"/>
      <c r="AI21" s="50"/>
      <c r="AJ21" s="50"/>
      <c r="AK21" s="50"/>
      <c r="AL21" s="238"/>
      <c r="AM21" s="111"/>
      <c r="AN21" s="111"/>
      <c r="AO21" s="111"/>
      <c r="AP21" s="111"/>
      <c r="AQ21" s="111"/>
      <c r="AR21" s="111"/>
      <c r="AS21" s="111"/>
      <c r="AT21" s="111"/>
      <c r="AU21" s="111"/>
      <c r="AV21" s="206"/>
      <c r="AW21" s="50"/>
      <c r="AX21" s="50"/>
      <c r="AY21" s="50"/>
      <c r="AZ21" s="50"/>
      <c r="BA21" s="89"/>
      <c r="BB21" s="89"/>
      <c r="BC21" s="89"/>
      <c r="BD21" s="8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0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19"/>
      <c r="DL21" s="119"/>
    </row>
    <row r="22" ht="30" customHeight="1">
      <c r="B22" s="368"/>
      <c r="C22" s="210" t="s">
        <v>202</v>
      </c>
      <c r="D22" s="46" t="s">
        <v>203</v>
      </c>
      <c r="E22" s="19"/>
      <c r="F22" s="46"/>
      <c r="G22" s="50"/>
      <c r="H22" s="50"/>
      <c r="I22" s="50"/>
      <c r="J22" s="50"/>
      <c r="K22" s="50"/>
      <c r="L22" s="50"/>
      <c r="M22" s="57"/>
      <c r="N22" s="46"/>
      <c r="O22" s="46"/>
      <c r="P22" s="50"/>
      <c r="Q22" s="50"/>
      <c r="R22" s="53"/>
      <c r="S22" s="86"/>
      <c r="T22" s="86"/>
      <c r="U22" s="70"/>
      <c r="V22" s="86"/>
      <c r="W22" s="86"/>
      <c r="X22" s="86"/>
      <c r="Y22" s="86"/>
      <c r="Z22" s="86"/>
      <c r="AA22" s="50"/>
      <c r="AB22" s="207"/>
      <c r="AC22" s="207"/>
      <c r="AD22" s="207"/>
      <c r="AE22" s="50"/>
      <c r="AF22" s="50"/>
      <c r="AG22" s="50"/>
      <c r="AH22" s="50"/>
      <c r="AI22" s="50"/>
      <c r="AJ22" s="50"/>
      <c r="AK22" s="50"/>
      <c r="AL22" s="50"/>
      <c r="AM22" s="80"/>
      <c r="AN22" s="86"/>
      <c r="AO22" s="86"/>
      <c r="AP22" s="86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89"/>
      <c r="BB22" s="89"/>
      <c r="BC22" s="89"/>
      <c r="BD22" s="8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0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  <c r="DF22" s="119"/>
      <c r="DG22" s="119"/>
      <c r="DH22" s="119"/>
      <c r="DI22" s="119"/>
      <c r="DJ22" s="119"/>
      <c r="DK22" s="119"/>
      <c r="DL22" s="119"/>
    </row>
    <row r="23" ht="30" customHeight="1">
      <c r="B23" s="232"/>
      <c r="C23" s="211" t="s">
        <v>204</v>
      </c>
      <c r="D23" s="46" t="s">
        <v>205</v>
      </c>
      <c r="E23" s="19"/>
      <c r="F23" s="46"/>
      <c r="G23" s="50"/>
      <c r="H23" s="50"/>
      <c r="I23" s="50"/>
      <c r="J23" s="50"/>
      <c r="K23" s="50"/>
      <c r="L23" s="50"/>
      <c r="M23" s="57"/>
      <c r="N23" s="46"/>
      <c r="O23" s="46"/>
      <c r="P23" s="50"/>
      <c r="Q23" s="50"/>
      <c r="R23" s="53"/>
      <c r="S23" s="86"/>
      <c r="T23" s="86"/>
      <c r="U23" s="70"/>
      <c r="V23" s="86"/>
      <c r="W23" s="86"/>
      <c r="X23" s="80"/>
      <c r="Y23" s="86"/>
      <c r="Z23" s="86"/>
      <c r="AA23" s="70"/>
      <c r="AB23" s="207"/>
      <c r="AC23" s="185"/>
      <c r="AD23" s="185"/>
      <c r="AE23" s="185"/>
      <c r="AF23" s="185"/>
      <c r="AG23" s="185"/>
      <c r="AH23" s="185"/>
      <c r="AI23" s="185"/>
      <c r="AJ23" s="185"/>
      <c r="AK23" s="86"/>
      <c r="AL23" s="86"/>
      <c r="AM23" s="50"/>
      <c r="AN23" s="50"/>
      <c r="AO23" s="50"/>
      <c r="AP23" s="238"/>
      <c r="AQ23" s="50"/>
      <c r="AR23" s="238"/>
      <c r="AS23" s="111"/>
      <c r="AT23" s="111"/>
      <c r="AU23" s="111"/>
      <c r="AV23" s="238"/>
      <c r="AW23" s="111"/>
      <c r="AX23" s="111"/>
      <c r="AY23" s="111"/>
      <c r="AZ23" s="111"/>
      <c r="BA23" s="111"/>
      <c r="BB23" s="111"/>
      <c r="BC23" s="111"/>
      <c r="BD23" s="111"/>
      <c r="BE23" s="111"/>
      <c r="BF23" s="240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0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  <c r="DF23" s="119"/>
      <c r="DG23" s="119"/>
      <c r="DH23" s="119"/>
      <c r="DI23" s="119"/>
      <c r="DJ23" s="119"/>
      <c r="DK23" s="119"/>
      <c r="DL23" s="119"/>
    </row>
    <row r="24" ht="49.5" customHeight="1">
      <c r="B24" s="232"/>
      <c r="C24" s="204" t="s">
        <v>206</v>
      </c>
      <c r="D24" s="46" t="s">
        <v>207</v>
      </c>
      <c r="E24" s="19"/>
      <c r="F24" s="46"/>
      <c r="G24" s="50"/>
      <c r="H24" s="50"/>
      <c r="I24" s="50"/>
      <c r="J24" s="50"/>
      <c r="K24" s="50"/>
      <c r="L24" s="50"/>
      <c r="M24" s="57"/>
      <c r="N24" s="46"/>
      <c r="O24" s="46"/>
      <c r="P24" s="50"/>
      <c r="Q24" s="50"/>
      <c r="R24" s="50"/>
      <c r="S24" s="50"/>
      <c r="T24" s="50"/>
      <c r="U24" s="50"/>
      <c r="V24" s="50"/>
      <c r="W24" s="50"/>
      <c r="X24" s="57"/>
      <c r="Y24" s="50"/>
      <c r="Z24" s="50"/>
      <c r="AA24" s="70"/>
      <c r="AB24" s="207"/>
      <c r="AC24" s="207"/>
      <c r="AD24" s="207"/>
      <c r="AE24" s="207"/>
      <c r="AF24" s="207"/>
      <c r="AG24" s="207"/>
      <c r="AH24" s="207"/>
      <c r="AI24" s="207"/>
      <c r="AJ24" s="207"/>
      <c r="AK24" s="86"/>
      <c r="AL24" s="86"/>
      <c r="AM24" s="50"/>
      <c r="AN24" s="50"/>
      <c r="AO24" s="50"/>
      <c r="AP24" s="50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119"/>
      <c r="BC24" s="119"/>
      <c r="BD24" s="119"/>
      <c r="BE24" s="119"/>
      <c r="BF24" s="119"/>
      <c r="BG24" s="119"/>
      <c r="BH24" s="119"/>
      <c r="BI24" s="119"/>
      <c r="BJ24" s="119"/>
      <c r="BK24" s="238"/>
      <c r="BL24" s="238"/>
      <c r="BM24" s="238"/>
      <c r="BN24" s="240"/>
      <c r="BO24" s="119"/>
      <c r="BP24" s="119"/>
      <c r="BQ24" s="119"/>
      <c r="BR24" s="119"/>
      <c r="BS24" s="119"/>
      <c r="BT24" s="119"/>
      <c r="BU24" s="119"/>
      <c r="BV24" s="119"/>
      <c r="BW24" s="119"/>
      <c r="BX24" s="10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  <c r="DF24" s="119"/>
      <c r="DG24" s="119"/>
      <c r="DH24" s="119"/>
      <c r="DI24" s="119"/>
      <c r="DJ24" s="119"/>
      <c r="DK24" s="119"/>
      <c r="DL24" s="119"/>
    </row>
    <row r="25" ht="35.25" customHeight="1">
      <c r="A25" s="225"/>
      <c r="B25" s="232"/>
      <c r="C25" s="193" t="s">
        <v>208</v>
      </c>
      <c r="D25" s="200" t="s">
        <v>209</v>
      </c>
      <c r="E25" s="9"/>
      <c r="F25" s="50"/>
      <c r="G25" s="50"/>
      <c r="H25" s="50"/>
      <c r="I25" s="50"/>
      <c r="J25" s="50"/>
      <c r="K25" s="50"/>
      <c r="L25" s="50"/>
      <c r="M25" s="86"/>
      <c r="N25" s="86"/>
      <c r="O25" s="86"/>
      <c r="P25" s="80"/>
      <c r="Q25" s="86"/>
      <c r="R25" s="86"/>
      <c r="S25" s="86"/>
      <c r="T25" s="86"/>
      <c r="U25" s="70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50"/>
      <c r="AG25" s="50"/>
      <c r="AH25" s="50"/>
      <c r="AI25" s="50"/>
      <c r="AJ25" s="50"/>
      <c r="AK25" s="50"/>
      <c r="AL25" s="50"/>
      <c r="AM25" s="57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227"/>
      <c r="BB25" s="227"/>
      <c r="BC25" s="227"/>
      <c r="BD25" s="240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0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9"/>
      <c r="DG25" s="119"/>
      <c r="DH25" s="119"/>
      <c r="DI25" s="119"/>
      <c r="DJ25" s="119"/>
      <c r="DK25" s="119"/>
      <c r="DL25" s="119"/>
      <c r="DM25" s="115"/>
    </row>
    <row r="26" ht="35.25" customHeight="1">
      <c r="B26" s="232"/>
      <c r="C26" s="194" t="s">
        <v>211</v>
      </c>
      <c r="D26" s="200" t="s">
        <v>184</v>
      </c>
      <c r="E26" s="9"/>
      <c r="F26" s="50"/>
      <c r="G26" s="50"/>
      <c r="H26" s="50"/>
      <c r="I26" s="50"/>
      <c r="J26" s="50"/>
      <c r="K26" s="50"/>
      <c r="L26" s="50"/>
      <c r="M26" s="86"/>
      <c r="N26" s="86"/>
      <c r="O26" s="86"/>
      <c r="P26" s="80"/>
      <c r="Q26" s="86"/>
      <c r="R26" s="86"/>
      <c r="S26" s="86"/>
      <c r="T26" s="86"/>
      <c r="U26" s="70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50"/>
      <c r="AG26" s="50"/>
      <c r="AH26" s="50"/>
      <c r="AI26" s="50"/>
      <c r="AJ26" s="50"/>
      <c r="AK26" s="50"/>
      <c r="AL26" s="50"/>
      <c r="AM26" s="57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89"/>
      <c r="BB26" s="89"/>
      <c r="BC26" s="89"/>
      <c r="BD26" s="8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0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9"/>
      <c r="DG26" s="119"/>
      <c r="DH26" s="119"/>
      <c r="DI26" s="119"/>
      <c r="DJ26" s="119"/>
      <c r="DK26" s="119"/>
      <c r="DL26" s="119"/>
      <c r="DM26" s="115"/>
    </row>
    <row r="27" ht="35.25" customHeight="1">
      <c r="B27" s="232"/>
      <c r="C27" s="194" t="s">
        <v>212</v>
      </c>
      <c r="D27" s="200" t="s">
        <v>184</v>
      </c>
      <c r="E27" s="9"/>
      <c r="F27" s="50"/>
      <c r="G27" s="50"/>
      <c r="H27" s="50"/>
      <c r="I27" s="50"/>
      <c r="J27" s="50"/>
      <c r="K27" s="50"/>
      <c r="L27" s="50"/>
      <c r="M27" s="86"/>
      <c r="N27" s="86"/>
      <c r="O27" s="86"/>
      <c r="P27" s="80"/>
      <c r="Q27" s="86"/>
      <c r="R27" s="86"/>
      <c r="S27" s="86"/>
      <c r="T27" s="86"/>
      <c r="U27" s="70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50"/>
      <c r="AG27" s="50"/>
      <c r="AH27" s="50"/>
      <c r="AI27" s="50"/>
      <c r="AJ27" s="50"/>
      <c r="AK27" s="50"/>
      <c r="AL27" s="50"/>
      <c r="AM27" s="57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89"/>
      <c r="BB27" s="89"/>
      <c r="BC27" s="89"/>
      <c r="BD27" s="8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0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9"/>
      <c r="DG27" s="119"/>
      <c r="DH27" s="119"/>
      <c r="DI27" s="119"/>
      <c r="DJ27" s="119"/>
      <c r="DK27" s="119"/>
      <c r="DL27" s="119"/>
      <c r="DM27" s="115"/>
    </row>
    <row r="28" ht="35.25" customHeight="1">
      <c r="B28" s="232"/>
      <c r="C28" s="194" t="s">
        <v>213</v>
      </c>
      <c r="D28" s="200" t="s">
        <v>184</v>
      </c>
      <c r="E28" s="9"/>
      <c r="F28" s="50"/>
      <c r="G28" s="50"/>
      <c r="H28" s="50"/>
      <c r="I28" s="50"/>
      <c r="J28" s="50"/>
      <c r="K28" s="50"/>
      <c r="L28" s="50"/>
      <c r="M28" s="86"/>
      <c r="N28" s="86"/>
      <c r="O28" s="86"/>
      <c r="P28" s="80"/>
      <c r="Q28" s="86"/>
      <c r="R28" s="86"/>
      <c r="S28" s="86"/>
      <c r="T28" s="86"/>
      <c r="U28" s="70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50"/>
      <c r="AG28" s="50"/>
      <c r="AH28" s="50"/>
      <c r="AI28" s="50"/>
      <c r="AJ28" s="50"/>
      <c r="AK28" s="50"/>
      <c r="AL28" s="50"/>
      <c r="AM28" s="57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89"/>
      <c r="BB28" s="89"/>
      <c r="BC28" s="89"/>
      <c r="BD28" s="8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0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5"/>
    </row>
    <row r="29" ht="35.25" customHeight="1">
      <c r="B29" s="232"/>
      <c r="C29" s="194" t="s">
        <v>214</v>
      </c>
      <c r="D29" s="200" t="s">
        <v>184</v>
      </c>
      <c r="E29" s="9"/>
      <c r="F29" s="50"/>
      <c r="G29" s="50"/>
      <c r="H29" s="50"/>
      <c r="I29" s="50"/>
      <c r="J29" s="50"/>
      <c r="K29" s="50"/>
      <c r="L29" s="50"/>
      <c r="M29" s="86"/>
      <c r="N29" s="86"/>
      <c r="O29" s="86"/>
      <c r="P29" s="80"/>
      <c r="Q29" s="86"/>
      <c r="R29" s="86"/>
      <c r="S29" s="86"/>
      <c r="T29" s="86"/>
      <c r="U29" s="70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50"/>
      <c r="AG29" s="50"/>
      <c r="AH29" s="50"/>
      <c r="AI29" s="50"/>
      <c r="AJ29" s="50"/>
      <c r="AK29" s="50"/>
      <c r="AL29" s="50"/>
      <c r="AM29" s="57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89"/>
      <c r="BB29" s="89"/>
      <c r="BC29" s="89"/>
      <c r="BD29" s="8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0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5"/>
    </row>
    <row r="30" ht="33" customHeight="1">
      <c r="B30" s="232"/>
      <c r="C30" s="194" t="s">
        <v>215</v>
      </c>
      <c r="D30" s="200" t="s">
        <v>184</v>
      </c>
      <c r="E30" s="9"/>
      <c r="F30" s="50"/>
      <c r="G30" s="50"/>
      <c r="H30" s="50"/>
      <c r="I30" s="50"/>
      <c r="J30" s="50"/>
      <c r="K30" s="50"/>
      <c r="L30" s="50"/>
      <c r="M30" s="86"/>
      <c r="N30" s="86"/>
      <c r="O30" s="86"/>
      <c r="P30" s="80"/>
      <c r="Q30" s="86"/>
      <c r="R30" s="86"/>
      <c r="S30" s="86"/>
      <c r="T30" s="86"/>
      <c r="U30" s="70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50"/>
      <c r="AG30" s="50"/>
      <c r="AH30" s="50"/>
      <c r="AI30" s="50"/>
      <c r="AJ30" s="50"/>
      <c r="AK30" s="50"/>
      <c r="AL30" s="50"/>
      <c r="AM30" s="57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89"/>
      <c r="BB30" s="89"/>
      <c r="BC30" s="89"/>
      <c r="BD30" s="8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0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5"/>
    </row>
    <row r="31" ht="66" customHeight="1">
      <c r="B31" s="232"/>
      <c r="C31" s="194" t="s">
        <v>216</v>
      </c>
      <c r="D31" s="200" t="s">
        <v>184</v>
      </c>
      <c r="E31" s="9"/>
      <c r="F31" s="50"/>
      <c r="G31" s="50"/>
      <c r="H31" s="50"/>
      <c r="I31" s="50"/>
      <c r="J31" s="50"/>
      <c r="K31" s="50"/>
      <c r="L31" s="50"/>
      <c r="M31" s="86"/>
      <c r="N31" s="86"/>
      <c r="O31" s="86"/>
      <c r="P31" s="80"/>
      <c r="Q31" s="86"/>
      <c r="R31" s="86"/>
      <c r="S31" s="86"/>
      <c r="T31" s="86"/>
      <c r="U31" s="70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50"/>
      <c r="AG31" s="50"/>
      <c r="AH31" s="50"/>
      <c r="AI31" s="50"/>
      <c r="AJ31" s="50"/>
      <c r="AK31" s="50"/>
      <c r="AL31" s="50"/>
      <c r="AM31" s="57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89"/>
      <c r="BB31" s="89"/>
      <c r="BC31" s="89"/>
      <c r="BD31" s="8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0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9"/>
      <c r="DG31" s="119"/>
      <c r="DH31" s="119"/>
      <c r="DI31" s="119"/>
      <c r="DJ31" s="119"/>
      <c r="DK31" s="119"/>
      <c r="DL31" s="119"/>
      <c r="DM31" s="115"/>
    </row>
    <row r="32" ht="16.5" customHeight="1">
      <c r="B32" s="232"/>
      <c r="C32" s="194" t="s">
        <v>217</v>
      </c>
      <c r="D32" s="200" t="s">
        <v>184</v>
      </c>
      <c r="E32" s="9"/>
      <c r="F32" s="50"/>
      <c r="G32" s="50"/>
      <c r="H32" s="50"/>
      <c r="I32" s="50"/>
      <c r="J32" s="50"/>
      <c r="K32" s="50"/>
      <c r="L32" s="50"/>
      <c r="M32" s="86"/>
      <c r="N32" s="86"/>
      <c r="O32" s="86"/>
      <c r="P32" s="80"/>
      <c r="Q32" s="86"/>
      <c r="R32" s="86"/>
      <c r="S32" s="86"/>
      <c r="T32" s="86"/>
      <c r="U32" s="70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50"/>
      <c r="AG32" s="50"/>
      <c r="AH32" s="50"/>
      <c r="AI32" s="50"/>
      <c r="AJ32" s="50"/>
      <c r="AK32" s="50"/>
      <c r="AL32" s="50"/>
      <c r="AM32" s="57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89"/>
      <c r="BB32" s="89"/>
      <c r="BC32" s="89"/>
      <c r="BD32" s="8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0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5"/>
    </row>
    <row r="33" ht="35.25" customHeight="1">
      <c r="B33" s="232"/>
      <c r="C33" s="212" t="s">
        <v>218</v>
      </c>
      <c r="D33" s="200" t="s">
        <v>219</v>
      </c>
      <c r="E33" s="9"/>
      <c r="F33" s="50"/>
      <c r="G33" s="50"/>
      <c r="H33" s="50"/>
      <c r="I33" s="50"/>
      <c r="J33" s="50"/>
      <c r="K33" s="50"/>
      <c r="L33" s="50"/>
      <c r="M33" s="86"/>
      <c r="N33" s="86"/>
      <c r="O33" s="86"/>
      <c r="P33" s="80"/>
      <c r="Q33" s="86"/>
      <c r="R33" s="86"/>
      <c r="S33" s="86"/>
      <c r="T33" s="86"/>
      <c r="U33" s="70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50"/>
      <c r="AG33" s="50"/>
      <c r="AH33" s="50"/>
      <c r="AI33" s="50"/>
      <c r="AJ33" s="50"/>
      <c r="AK33" s="50"/>
      <c r="AL33" s="50"/>
      <c r="AM33" s="57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207"/>
      <c r="BJ33" s="207"/>
      <c r="BK33" s="207"/>
      <c r="BL33" s="207"/>
      <c r="BM33" s="198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0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5"/>
    </row>
    <row r="34" ht="35.25" customHeight="1">
      <c r="B34" s="232"/>
      <c r="C34" s="194" t="s">
        <v>220</v>
      </c>
      <c r="D34" s="200" t="s">
        <v>219</v>
      </c>
      <c r="E34" s="9"/>
      <c r="F34" s="50"/>
      <c r="G34" s="50"/>
      <c r="H34" s="50"/>
      <c r="I34" s="50"/>
      <c r="J34" s="50"/>
      <c r="K34" s="50"/>
      <c r="L34" s="50"/>
      <c r="M34" s="86"/>
      <c r="N34" s="86"/>
      <c r="O34" s="86"/>
      <c r="P34" s="80"/>
      <c r="Q34" s="86"/>
      <c r="R34" s="86"/>
      <c r="S34" s="86"/>
      <c r="T34" s="86"/>
      <c r="U34" s="70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50"/>
      <c r="AG34" s="50"/>
      <c r="AH34" s="50"/>
      <c r="AI34" s="50"/>
      <c r="AJ34" s="50"/>
      <c r="AK34" s="50"/>
      <c r="AL34" s="50"/>
      <c r="AM34" s="57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89"/>
      <c r="BB34" s="89"/>
      <c r="BC34" s="89"/>
      <c r="BD34" s="89"/>
      <c r="BE34" s="89"/>
      <c r="BF34" s="89"/>
      <c r="BG34" s="89"/>
      <c r="BH34" s="89"/>
      <c r="BI34" s="207"/>
      <c r="BJ34" s="207"/>
      <c r="BK34" s="207"/>
      <c r="BL34" s="207"/>
      <c r="BM34" s="198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0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9"/>
      <c r="DG34" s="119"/>
      <c r="DH34" s="119"/>
      <c r="DI34" s="119"/>
      <c r="DJ34" s="119"/>
      <c r="DK34" s="119"/>
      <c r="DL34" s="119"/>
      <c r="DM34" s="115"/>
    </row>
    <row r="35" ht="35.25" customHeight="1">
      <c r="B35" s="232"/>
      <c r="C35" s="194" t="s">
        <v>221</v>
      </c>
      <c r="D35" s="200" t="s">
        <v>219</v>
      </c>
      <c r="E35" s="9"/>
      <c r="F35" s="50"/>
      <c r="G35" s="50"/>
      <c r="H35" s="50"/>
      <c r="I35" s="50"/>
      <c r="J35" s="50"/>
      <c r="K35" s="50"/>
      <c r="L35" s="50"/>
      <c r="M35" s="86"/>
      <c r="N35" s="86"/>
      <c r="O35" s="86"/>
      <c r="P35" s="80"/>
      <c r="Q35" s="86"/>
      <c r="R35" s="86"/>
      <c r="S35" s="86"/>
      <c r="T35" s="86"/>
      <c r="U35" s="70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50"/>
      <c r="AG35" s="50"/>
      <c r="AH35" s="50"/>
      <c r="AI35" s="50"/>
      <c r="AJ35" s="50"/>
      <c r="AK35" s="50"/>
      <c r="AL35" s="50"/>
      <c r="AM35" s="57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207"/>
      <c r="AZ35" s="207"/>
      <c r="BA35" s="207"/>
      <c r="BB35" s="207"/>
      <c r="BC35" s="119"/>
      <c r="BD35" s="119"/>
      <c r="BE35" s="119"/>
      <c r="BF35" s="119"/>
      <c r="BG35" s="119"/>
      <c r="BH35" s="119"/>
      <c r="BI35" s="119"/>
      <c r="BJ35" s="237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0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9"/>
      <c r="DG35" s="119"/>
      <c r="DH35" s="119"/>
      <c r="DI35" s="119"/>
      <c r="DJ35" s="119"/>
      <c r="DK35" s="119"/>
      <c r="DL35" s="119"/>
      <c r="DM35" s="115"/>
    </row>
    <row r="36" ht="49.5" customHeight="1">
      <c r="B36" s="365" t="s">
        <v>222</v>
      </c>
      <c r="C36" s="211" t="s">
        <v>223</v>
      </c>
      <c r="D36" s="228" t="s">
        <v>224</v>
      </c>
      <c r="E36" s="19"/>
      <c r="F36" s="46"/>
      <c r="G36" s="50"/>
      <c r="H36" s="50"/>
      <c r="I36" s="50"/>
      <c r="J36" s="50"/>
      <c r="K36" s="50"/>
      <c r="L36" s="50"/>
      <c r="M36" s="57"/>
      <c r="N36" s="50"/>
      <c r="O36" s="46"/>
      <c r="P36" s="46"/>
      <c r="Q36" s="46"/>
      <c r="R36" s="50"/>
      <c r="S36" s="50"/>
      <c r="T36" s="50"/>
      <c r="U36" s="50"/>
      <c r="V36" s="50"/>
      <c r="W36" s="50"/>
      <c r="X36" s="50"/>
      <c r="Y36" s="185"/>
      <c r="Z36" s="86"/>
      <c r="AA36" s="50"/>
      <c r="AB36" s="50"/>
      <c r="AC36" s="50"/>
      <c r="AD36" s="50"/>
      <c r="AE36" s="50"/>
      <c r="AF36" s="207"/>
      <c r="AG36" s="207"/>
      <c r="AH36" s="207"/>
      <c r="AI36" s="207"/>
      <c r="AJ36" s="50"/>
      <c r="AK36" s="50"/>
      <c r="AL36" s="50"/>
      <c r="AM36" s="50"/>
      <c r="AN36" s="50"/>
      <c r="AO36" s="50"/>
      <c r="AP36" s="50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37"/>
      <c r="BC36" s="237"/>
      <c r="BD36" s="237"/>
      <c r="BE36" s="89"/>
      <c r="BF36" s="89"/>
      <c r="BG36" s="89"/>
      <c r="BH36" s="119"/>
      <c r="BI36" s="119"/>
      <c r="BJ36" s="207"/>
      <c r="BK36" s="237"/>
      <c r="BL36" s="119"/>
      <c r="BM36" s="119"/>
      <c r="BN36" s="119"/>
      <c r="BO36" s="119"/>
      <c r="BP36" s="207"/>
      <c r="BQ36" s="237"/>
      <c r="BR36" s="119"/>
      <c r="BS36" s="119"/>
      <c r="BT36" s="119"/>
      <c r="BU36" s="119"/>
      <c r="BV36" s="119"/>
      <c r="BW36" s="119"/>
      <c r="BX36" s="10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</row>
    <row r="37" ht="27" customHeight="1">
      <c r="B37" s="366"/>
      <c r="C37" s="228" t="s">
        <v>225</v>
      </c>
      <c r="D37" s="228" t="s">
        <v>224</v>
      </c>
      <c r="E37" s="19"/>
      <c r="F37" s="46"/>
      <c r="G37" s="50"/>
      <c r="H37" s="50"/>
      <c r="I37" s="50"/>
      <c r="J37" s="50"/>
      <c r="K37" s="50"/>
      <c r="L37" s="50"/>
      <c r="M37" s="57"/>
      <c r="N37" s="50"/>
      <c r="O37" s="46"/>
      <c r="P37" s="46"/>
      <c r="Q37" s="46"/>
      <c r="R37" s="50"/>
      <c r="S37" s="50"/>
      <c r="T37" s="50"/>
      <c r="U37" s="50"/>
      <c r="V37" s="50"/>
      <c r="W37" s="50"/>
      <c r="X37" s="50"/>
      <c r="Y37" s="185"/>
      <c r="Z37" s="86"/>
      <c r="AA37" s="50"/>
      <c r="AB37" s="50"/>
      <c r="AC37" s="50"/>
      <c r="AD37" s="50"/>
      <c r="AE37" s="50"/>
      <c r="AF37" s="46"/>
      <c r="AG37" s="46"/>
      <c r="AH37" s="46"/>
      <c r="AI37" s="50"/>
      <c r="AJ37" s="207"/>
      <c r="AK37" s="207"/>
      <c r="AL37" s="50"/>
      <c r="AM37" s="50"/>
      <c r="AN37" s="50"/>
      <c r="AO37" s="50"/>
      <c r="AP37" s="50"/>
      <c r="AQ37" s="50"/>
      <c r="AR37" s="50"/>
      <c r="AS37" s="50"/>
      <c r="AT37" s="50"/>
      <c r="AU37" s="207"/>
      <c r="AV37" s="207"/>
      <c r="AW37" s="50"/>
      <c r="AX37" s="50"/>
      <c r="AY37" s="50"/>
      <c r="AZ37" s="50"/>
      <c r="BA37" s="50"/>
      <c r="BB37" s="50"/>
      <c r="BC37" s="50"/>
      <c r="BD37" s="89"/>
      <c r="BE37" s="89"/>
      <c r="BF37" s="89"/>
      <c r="BG37" s="89"/>
      <c r="BH37" s="119"/>
      <c r="BI37" s="89"/>
      <c r="BJ37" s="119"/>
      <c r="BK37" s="119"/>
      <c r="BL37" s="207"/>
      <c r="BM37" s="207"/>
      <c r="BN37" s="119"/>
      <c r="BO37" s="119"/>
      <c r="BP37" s="119"/>
      <c r="BQ37" s="119"/>
      <c r="BR37" s="207"/>
      <c r="BS37" s="198"/>
      <c r="BT37" s="119"/>
      <c r="BU37" s="119"/>
      <c r="BV37" s="119"/>
      <c r="BW37" s="119"/>
      <c r="BX37" s="10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  <c r="DF37" s="119"/>
      <c r="DG37" s="119"/>
      <c r="DH37" s="119"/>
      <c r="DI37" s="119"/>
      <c r="DJ37" s="119"/>
      <c r="DK37" s="119"/>
      <c r="DL37" s="119"/>
    </row>
    <row r="38" ht="27" customHeight="1">
      <c r="B38" s="366"/>
      <c r="C38" s="211" t="s">
        <v>226</v>
      </c>
      <c r="D38" s="228" t="s">
        <v>224</v>
      </c>
      <c r="E38" s="19"/>
      <c r="F38" s="46"/>
      <c r="G38" s="50"/>
      <c r="H38" s="50"/>
      <c r="I38" s="50"/>
      <c r="J38" s="50"/>
      <c r="K38" s="50"/>
      <c r="L38" s="50"/>
      <c r="M38" s="57"/>
      <c r="N38" s="50"/>
      <c r="O38" s="46"/>
      <c r="P38" s="46"/>
      <c r="Q38" s="46"/>
      <c r="R38" s="50"/>
      <c r="S38" s="50"/>
      <c r="T38" s="50"/>
      <c r="U38" s="50"/>
      <c r="V38" s="50"/>
      <c r="W38" s="50"/>
      <c r="X38" s="50"/>
      <c r="Y38" s="185"/>
      <c r="Z38" s="86"/>
      <c r="AA38" s="50"/>
      <c r="AB38" s="50"/>
      <c r="AC38" s="50"/>
      <c r="AD38" s="50"/>
      <c r="AE38" s="50"/>
      <c r="AF38" s="46"/>
      <c r="AG38" s="46"/>
      <c r="AH38" s="46"/>
      <c r="AI38" s="50"/>
      <c r="AJ38" s="50"/>
      <c r="AK38" s="50"/>
      <c r="AL38" s="207"/>
      <c r="AM38" s="207"/>
      <c r="AN38" s="50"/>
      <c r="AO38" s="50"/>
      <c r="AP38" s="50"/>
      <c r="AQ38" s="50"/>
      <c r="AR38" s="50"/>
      <c r="AS38" s="50"/>
      <c r="AT38" s="50"/>
      <c r="AU38" s="207"/>
      <c r="AV38" s="50"/>
      <c r="AW38" s="50"/>
      <c r="AX38" s="50"/>
      <c r="AY38" s="50"/>
      <c r="AZ38" s="50"/>
      <c r="BA38" s="50"/>
      <c r="BB38" s="50"/>
      <c r="BC38" s="50"/>
      <c r="BD38" s="89"/>
      <c r="BE38" s="89"/>
      <c r="BF38" s="89"/>
      <c r="BG38" s="8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207"/>
      <c r="BU38" s="198"/>
      <c r="BV38" s="119"/>
      <c r="BW38" s="119"/>
      <c r="BX38" s="10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  <c r="DF38" s="119"/>
      <c r="DG38" s="119"/>
      <c r="DH38" s="119"/>
      <c r="DI38" s="119"/>
      <c r="DJ38" s="119"/>
      <c r="DK38" s="119"/>
      <c r="DL38" s="119"/>
    </row>
    <row r="39" ht="66" customHeight="1">
      <c r="B39" s="366"/>
      <c r="C39" s="228" t="s">
        <v>227</v>
      </c>
      <c r="D39" s="228" t="s">
        <v>224</v>
      </c>
      <c r="E39" s="19"/>
      <c r="F39" s="46"/>
      <c r="G39" s="50"/>
      <c r="H39" s="50"/>
      <c r="I39" s="50"/>
      <c r="J39" s="50"/>
      <c r="K39" s="50"/>
      <c r="L39" s="50"/>
      <c r="M39" s="57"/>
      <c r="N39" s="50"/>
      <c r="O39" s="46"/>
      <c r="P39" s="46"/>
      <c r="Q39" s="46"/>
      <c r="R39" s="50"/>
      <c r="S39" s="46"/>
      <c r="T39" s="46"/>
      <c r="U39" s="46"/>
      <c r="V39" s="46"/>
      <c r="W39" s="46"/>
      <c r="X39" s="46"/>
      <c r="Y39" s="46"/>
      <c r="Z39" s="46"/>
      <c r="AA39" s="100"/>
      <c r="AB39" s="100"/>
      <c r="AC39" s="100"/>
      <c r="AD39" s="100"/>
      <c r="AE39" s="100"/>
      <c r="AF39" s="100"/>
      <c r="AG39" s="100"/>
      <c r="AH39" s="100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50"/>
      <c r="AX39" s="50"/>
      <c r="AY39" s="50"/>
      <c r="AZ39" s="50"/>
      <c r="BA39" s="50"/>
      <c r="BB39" s="50"/>
      <c r="BC39" s="50"/>
      <c r="BD39" s="89"/>
      <c r="BE39" s="207"/>
      <c r="BF39" s="207"/>
      <c r="BG39" s="207"/>
      <c r="BH39" s="207"/>
      <c r="BI39" s="207"/>
      <c r="BJ39" s="207"/>
      <c r="BK39" s="207"/>
      <c r="BL39" s="207"/>
      <c r="BM39" s="207"/>
      <c r="BN39" s="207"/>
      <c r="BO39" s="207"/>
      <c r="BP39" s="207"/>
      <c r="BQ39" s="207"/>
      <c r="BR39" s="207"/>
      <c r="BS39" s="207"/>
      <c r="BT39" s="207"/>
      <c r="BU39" s="207"/>
      <c r="BV39" s="207"/>
      <c r="BW39" s="207"/>
      <c r="BX39" s="207"/>
      <c r="BY39" s="198"/>
      <c r="BZ39" s="50"/>
      <c r="CA39" s="50"/>
      <c r="CB39" s="89"/>
      <c r="CC39" s="89"/>
      <c r="CD39" s="89"/>
      <c r="CE39" s="89"/>
      <c r="CF39" s="10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  <c r="DF39" s="119"/>
      <c r="DG39" s="119"/>
      <c r="DH39" s="119"/>
      <c r="DI39" s="119"/>
      <c r="DJ39" s="119"/>
      <c r="DK39" s="119"/>
      <c r="DL39" s="119"/>
    </row>
    <row r="40" ht="30.599999999999998" customHeight="1">
      <c r="B40" s="366"/>
      <c r="C40" s="228" t="s">
        <v>228</v>
      </c>
      <c r="D40" s="204" t="s">
        <v>229</v>
      </c>
      <c r="E40" s="19"/>
      <c r="F40" s="46"/>
      <c r="G40" s="46"/>
      <c r="H40" s="46"/>
      <c r="I40" s="46"/>
      <c r="J40" s="46"/>
      <c r="K40" s="46"/>
      <c r="L40" s="46"/>
      <c r="M40" s="111"/>
      <c r="N40" s="46"/>
      <c r="O40" s="46"/>
      <c r="P40" s="46"/>
      <c r="Q40" s="46"/>
      <c r="R40" s="50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207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50"/>
      <c r="AY40" s="50"/>
      <c r="AZ40" s="50"/>
      <c r="BA40" s="50"/>
      <c r="BB40" s="50"/>
      <c r="BC40" s="50"/>
      <c r="BD40" s="89"/>
      <c r="BE40" s="50"/>
      <c r="BF40" s="207"/>
      <c r="BG40" s="207"/>
      <c r="BH40" s="207"/>
      <c r="BI40" s="207"/>
      <c r="BJ40" s="207"/>
      <c r="BK40" s="207"/>
      <c r="BL40" s="207"/>
      <c r="BM40" s="207"/>
      <c r="BN40" s="207"/>
      <c r="BO40" s="207"/>
      <c r="BP40" s="207"/>
      <c r="BQ40" s="207"/>
      <c r="BR40" s="207"/>
      <c r="BS40" s="207"/>
      <c r="BT40" s="207"/>
      <c r="BU40" s="207"/>
      <c r="BV40" s="198"/>
      <c r="BW40" s="50"/>
      <c r="BX40" s="50"/>
      <c r="BY40" s="50"/>
      <c r="BZ40" s="50"/>
      <c r="CA40" s="50"/>
      <c r="CB40" s="89"/>
      <c r="CC40" s="89"/>
      <c r="CD40" s="89"/>
      <c r="CE40" s="89"/>
      <c r="CF40" s="10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  <c r="DF40" s="119"/>
      <c r="DG40" s="119"/>
      <c r="DH40" s="119"/>
      <c r="DI40" s="119"/>
      <c r="DJ40" s="119"/>
      <c r="DK40" s="119"/>
      <c r="DL40" s="119"/>
    </row>
    <row r="41" ht="33" customHeight="1">
      <c r="B41" s="366"/>
      <c r="C41" s="228" t="s">
        <v>230</v>
      </c>
      <c r="D41" s="228" t="s">
        <v>224</v>
      </c>
      <c r="E41" s="19"/>
      <c r="F41" s="46"/>
      <c r="G41" s="50"/>
      <c r="H41" s="50"/>
      <c r="I41" s="50"/>
      <c r="J41" s="50"/>
      <c r="K41" s="50"/>
      <c r="L41" s="50"/>
      <c r="M41" s="57"/>
      <c r="N41" s="50"/>
      <c r="O41" s="46"/>
      <c r="P41" s="46"/>
      <c r="Q41" s="46"/>
      <c r="R41" s="50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0"/>
      <c r="AK41" s="50"/>
      <c r="AL41" s="50"/>
      <c r="AM41" s="50"/>
      <c r="AN41" s="9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89"/>
      <c r="BE41" s="57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207"/>
      <c r="BX41" s="207"/>
      <c r="BY41" s="207"/>
      <c r="BZ41" s="207"/>
      <c r="CA41" s="207"/>
      <c r="CB41" s="207"/>
      <c r="CC41" s="198"/>
      <c r="CD41" s="89"/>
      <c r="CE41" s="89"/>
      <c r="CF41" s="10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  <c r="DF41" s="119"/>
      <c r="DG41" s="119"/>
      <c r="DH41" s="119"/>
      <c r="DI41" s="119"/>
      <c r="DJ41" s="119"/>
      <c r="DK41" s="119"/>
      <c r="DL41" s="119"/>
    </row>
    <row r="42" ht="30.599999999999998" customHeight="1">
      <c r="B42" s="366"/>
      <c r="C42" s="228" t="s">
        <v>231</v>
      </c>
      <c r="D42" s="228" t="s">
        <v>232</v>
      </c>
      <c r="E42" s="19"/>
      <c r="F42" s="46"/>
      <c r="G42" s="50"/>
      <c r="H42" s="50"/>
      <c r="I42" s="50"/>
      <c r="J42" s="50"/>
      <c r="K42" s="50"/>
      <c r="L42" s="50"/>
      <c r="M42" s="57"/>
      <c r="N42" s="50"/>
      <c r="O42" s="46"/>
      <c r="P42" s="46"/>
      <c r="Q42" s="46"/>
      <c r="R42" s="50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0"/>
      <c r="AK42" s="50"/>
      <c r="AL42" s="50"/>
      <c r="AM42" s="50"/>
      <c r="AN42" s="9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89"/>
      <c r="BE42" s="57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89"/>
      <c r="CC42" s="89"/>
      <c r="CD42" s="207"/>
      <c r="CE42" s="207"/>
      <c r="CF42" s="207"/>
      <c r="CG42" s="198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  <c r="DF42" s="119"/>
      <c r="DG42" s="119"/>
      <c r="DH42" s="119"/>
      <c r="DI42" s="119"/>
      <c r="DJ42" s="119"/>
      <c r="DK42" s="119"/>
      <c r="DL42" s="119"/>
    </row>
    <row r="43" ht="82.5" customHeight="1">
      <c r="B43" s="366"/>
      <c r="C43" s="228" t="s">
        <v>233</v>
      </c>
      <c r="D43" s="228" t="s">
        <v>224</v>
      </c>
      <c r="E43" s="19"/>
      <c r="F43" s="46"/>
      <c r="G43" s="50"/>
      <c r="H43" s="50"/>
      <c r="I43" s="50"/>
      <c r="J43" s="50"/>
      <c r="K43" s="50"/>
      <c r="L43" s="50"/>
      <c r="M43" s="57"/>
      <c r="N43" s="50"/>
      <c r="O43" s="46"/>
      <c r="P43" s="46"/>
      <c r="Q43" s="46"/>
      <c r="R43" s="50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0"/>
      <c r="AK43" s="50"/>
      <c r="AL43" s="50"/>
      <c r="AM43" s="50"/>
      <c r="AN43" s="9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89"/>
      <c r="BE43" s="207"/>
      <c r="BF43" s="207"/>
      <c r="BG43" s="207"/>
      <c r="BH43" s="207"/>
      <c r="BI43" s="207"/>
      <c r="BJ43" s="207"/>
      <c r="BK43" s="207"/>
      <c r="BL43" s="207"/>
      <c r="BM43" s="207"/>
      <c r="BN43" s="207"/>
      <c r="BO43" s="207"/>
      <c r="BP43" s="207"/>
      <c r="BQ43" s="50"/>
      <c r="BR43" s="50"/>
      <c r="BS43" s="50"/>
      <c r="BT43" s="50"/>
      <c r="BU43" s="50"/>
      <c r="BV43" s="50"/>
      <c r="BW43" s="50"/>
      <c r="BX43" s="50"/>
      <c r="BY43" s="207"/>
      <c r="BZ43" s="207"/>
      <c r="CA43" s="207"/>
      <c r="CB43" s="207"/>
      <c r="CC43" s="207"/>
      <c r="CD43" s="207"/>
      <c r="CE43" s="207"/>
      <c r="CF43" s="207"/>
      <c r="CG43" s="207"/>
      <c r="CH43" s="207"/>
      <c r="CI43" s="207"/>
      <c r="CJ43" s="207"/>
      <c r="CK43" s="198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19"/>
      <c r="DI43" s="119"/>
      <c r="DJ43" s="119"/>
      <c r="DK43" s="119"/>
      <c r="DL43" s="119"/>
    </row>
    <row r="44" ht="41.25" customHeight="1">
      <c r="B44" s="366"/>
      <c r="C44" s="228" t="s">
        <v>234</v>
      </c>
      <c r="D44" s="228" t="s">
        <v>235</v>
      </c>
      <c r="E44" s="21"/>
      <c r="F44" s="22"/>
      <c r="G44" s="50"/>
      <c r="H44" s="50"/>
      <c r="I44" s="50"/>
      <c r="J44" s="50"/>
      <c r="K44" s="50"/>
      <c r="L44" s="50"/>
      <c r="M44" s="57"/>
      <c r="N44" s="50"/>
      <c r="O44" s="46"/>
      <c r="P44" s="46"/>
      <c r="Q44" s="46"/>
      <c r="R44" s="5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0"/>
      <c r="AK44" s="50"/>
      <c r="AL44" s="50"/>
      <c r="AM44" s="50"/>
      <c r="AN44" s="9"/>
      <c r="AO44" s="50"/>
      <c r="AP44" s="50"/>
      <c r="AQ44" s="50"/>
      <c r="AR44" s="50"/>
      <c r="AS44" s="50"/>
      <c r="AT44" s="50"/>
      <c r="AU44" s="50"/>
      <c r="AV44" s="50"/>
      <c r="AW44" s="50"/>
      <c r="AX44" s="39"/>
      <c r="AY44" s="39"/>
      <c r="AZ44" s="39"/>
      <c r="BA44" s="39"/>
      <c r="BB44" s="39"/>
      <c r="BC44" s="50"/>
      <c r="BD44" s="89"/>
      <c r="BE44" s="50"/>
      <c r="BF44" s="57"/>
      <c r="BG44" s="50"/>
      <c r="BH44" s="50"/>
      <c r="BI44" s="57"/>
      <c r="BJ44" s="46"/>
      <c r="BK44" s="46"/>
      <c r="BL44" s="183"/>
      <c r="BM44" s="50"/>
      <c r="BN44" s="50"/>
      <c r="BO44" s="119"/>
      <c r="BP44" s="119"/>
      <c r="BQ44" s="119"/>
      <c r="BR44" s="50"/>
      <c r="BS44" s="50"/>
      <c r="BT44" s="89"/>
      <c r="BU44" s="89"/>
      <c r="BV44" s="89"/>
      <c r="BW44" s="89"/>
      <c r="BX44" s="10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203"/>
      <c r="CM44" s="203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  <c r="DF44" s="119"/>
      <c r="DG44" s="119"/>
      <c r="DH44" s="119"/>
      <c r="DI44" s="119"/>
      <c r="DJ44" s="119"/>
      <c r="DK44" s="119"/>
      <c r="DL44" s="119"/>
    </row>
    <row r="45" ht="30" customHeight="1">
      <c r="B45" s="369"/>
      <c r="C45" s="183" t="s">
        <v>236</v>
      </c>
      <c r="D45" s="228" t="s">
        <v>235</v>
      </c>
      <c r="E45" s="19"/>
      <c r="F45" s="46"/>
      <c r="G45" s="9"/>
      <c r="H45" s="50"/>
      <c r="I45" s="50"/>
      <c r="J45" s="50"/>
      <c r="K45" s="50"/>
      <c r="L45" s="50"/>
      <c r="M45" s="57"/>
      <c r="N45" s="50"/>
      <c r="O45" s="46"/>
      <c r="P45" s="46"/>
      <c r="Q45" s="46"/>
      <c r="R45" s="5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0"/>
      <c r="AK45" s="50"/>
      <c r="AL45" s="50"/>
      <c r="AM45" s="50"/>
      <c r="AN45" s="9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7"/>
      <c r="BG45" s="50"/>
      <c r="BH45" s="50"/>
      <c r="BI45" s="50"/>
      <c r="BJ45" s="50"/>
      <c r="BK45" s="50"/>
      <c r="BL45" s="46"/>
      <c r="BM45" s="46"/>
      <c r="BN45" s="46"/>
      <c r="BO45" s="46"/>
      <c r="BP45" s="46"/>
      <c r="BQ45" s="119"/>
      <c r="BR45" s="50"/>
      <c r="BS45" s="50"/>
      <c r="BT45" s="89"/>
      <c r="BU45" s="89"/>
      <c r="BV45" s="89"/>
      <c r="BW45" s="89"/>
      <c r="BX45" s="109"/>
      <c r="BY45" s="119"/>
      <c r="BZ45" s="119"/>
      <c r="CA45" s="119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203"/>
      <c r="CO45" s="203"/>
      <c r="CP45" s="203"/>
      <c r="CQ45" s="203"/>
      <c r="CR45" s="203"/>
      <c r="CS45" s="203"/>
      <c r="CT45" s="203"/>
      <c r="CU45" s="203"/>
      <c r="CV45" s="203"/>
      <c r="CW45" s="203"/>
      <c r="CX45" s="203"/>
      <c r="CY45" s="203"/>
      <c r="CZ45" s="119"/>
      <c r="DA45" s="119"/>
      <c r="DB45" s="119"/>
      <c r="DC45" s="119"/>
      <c r="DD45" s="119"/>
      <c r="DE45" s="119"/>
      <c r="DF45" s="119"/>
      <c r="DG45" s="119"/>
      <c r="DH45" s="119"/>
      <c r="DI45" s="119"/>
      <c r="DJ45" s="119"/>
      <c r="DK45" s="119"/>
      <c r="DL45" s="119"/>
    </row>
    <row r="46" ht="30" customHeight="1">
      <c r="B46" s="370" t="s">
        <v>237</v>
      </c>
      <c r="C46" s="46" t="s">
        <v>238</v>
      </c>
      <c r="D46" s="46" t="s">
        <v>239</v>
      </c>
      <c r="E46" s="19"/>
      <c r="F46" s="46"/>
      <c r="G46" s="50"/>
      <c r="H46" s="50"/>
      <c r="I46" s="50"/>
      <c r="J46" s="50"/>
      <c r="K46" s="50"/>
      <c r="L46" s="50"/>
      <c r="M46" s="50"/>
      <c r="N46" s="39"/>
      <c r="O46" s="39"/>
      <c r="P46" s="207"/>
      <c r="Q46" s="207"/>
      <c r="R46" s="207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0"/>
      <c r="AJ46" s="50"/>
      <c r="AK46" s="50"/>
      <c r="AL46" s="50"/>
      <c r="AM46" s="57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89"/>
      <c r="BB46" s="89"/>
      <c r="BC46" s="89"/>
      <c r="BD46" s="8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0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  <c r="DF46" s="119"/>
      <c r="DG46" s="119"/>
      <c r="DH46" s="119"/>
      <c r="DI46" s="119"/>
      <c r="DJ46" s="119"/>
      <c r="DK46" s="119"/>
      <c r="DL46" s="119"/>
    </row>
    <row r="47" ht="30" customHeight="1">
      <c r="B47" s="367"/>
      <c r="C47" s="228" t="s">
        <v>240</v>
      </c>
      <c r="D47" s="46" t="s">
        <v>239</v>
      </c>
      <c r="E47" s="23"/>
      <c r="F47" s="185"/>
      <c r="G47" s="86"/>
      <c r="H47" s="86"/>
      <c r="I47" s="86"/>
      <c r="J47" s="86"/>
      <c r="K47" s="86"/>
      <c r="L47" s="86"/>
      <c r="M47" s="86"/>
      <c r="N47" s="86"/>
      <c r="O47" s="86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0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119"/>
      <c r="BV47" s="119"/>
      <c r="BW47" s="119"/>
      <c r="BX47" s="10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  <c r="DF47" s="119"/>
      <c r="DG47" s="119"/>
      <c r="DH47" s="119"/>
      <c r="DI47" s="119"/>
      <c r="DJ47" s="119"/>
      <c r="DK47" s="119"/>
      <c r="DL47" s="119"/>
    </row>
    <row r="48" ht="30" customHeight="1">
      <c r="B48" s="367"/>
      <c r="C48" s="46" t="s">
        <v>185</v>
      </c>
      <c r="D48" s="46" t="s">
        <v>239</v>
      </c>
      <c r="E48" s="46"/>
      <c r="F48" s="46"/>
      <c r="G48" s="46"/>
      <c r="H48" s="46"/>
      <c r="I48" s="46"/>
      <c r="J48" s="46"/>
      <c r="K48" s="46"/>
      <c r="L48" s="46"/>
      <c r="M48" s="207"/>
      <c r="N48" s="46"/>
      <c r="O48" s="46"/>
      <c r="P48" s="46"/>
      <c r="Q48" s="46"/>
      <c r="R48" s="46"/>
      <c r="S48" s="207"/>
      <c r="T48" s="207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0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  <c r="DF48" s="119"/>
      <c r="DG48" s="119"/>
      <c r="DH48" s="119"/>
      <c r="DI48" s="119"/>
      <c r="DJ48" s="119"/>
      <c r="DK48" s="119"/>
      <c r="DL48" s="119"/>
    </row>
    <row r="49" ht="30" customHeight="1">
      <c r="B49" s="367"/>
      <c r="C49" s="228" t="s">
        <v>241</v>
      </c>
      <c r="D49" s="46" t="s">
        <v>239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0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  <c r="DF49" s="119"/>
      <c r="DG49" s="119"/>
      <c r="DH49" s="119"/>
      <c r="DI49" s="119"/>
      <c r="DJ49" s="119"/>
      <c r="DK49" s="119"/>
      <c r="DL49" s="119"/>
    </row>
    <row r="50" ht="30" customHeight="1">
      <c r="B50" s="367"/>
      <c r="C50" s="218" t="s">
        <v>242</v>
      </c>
      <c r="D50" s="185" t="s">
        <v>239</v>
      </c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119"/>
      <c r="BV50" s="119"/>
      <c r="BW50" s="119"/>
      <c r="BX50" s="10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  <c r="DF50" s="119"/>
      <c r="DG50" s="119"/>
      <c r="DH50" s="119"/>
      <c r="DI50" s="119"/>
      <c r="DJ50" s="119"/>
      <c r="DK50" s="119"/>
      <c r="DL50" s="119"/>
    </row>
    <row r="51" ht="30" customHeight="1">
      <c r="B51" s="365" t="s">
        <v>243</v>
      </c>
      <c r="C51" s="228" t="s">
        <v>244</v>
      </c>
      <c r="D51" s="46" t="s">
        <v>245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207"/>
      <c r="AK51" s="207"/>
      <c r="AL51" s="207"/>
      <c r="AM51" s="207"/>
      <c r="AN51" s="207"/>
      <c r="AO51" s="207"/>
      <c r="AP51" s="207"/>
      <c r="AQ51" s="207"/>
      <c r="AR51" s="46"/>
      <c r="AS51" s="46"/>
      <c r="AT51" s="46"/>
      <c r="AU51" s="46"/>
      <c r="AV51" s="46"/>
      <c r="AW51" s="46"/>
      <c r="AX51" s="46"/>
      <c r="AY51" s="46"/>
      <c r="AZ51" s="46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0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  <c r="DF51" s="119"/>
      <c r="DG51" s="119"/>
      <c r="DH51" s="119"/>
      <c r="DI51" s="119"/>
      <c r="DJ51" s="119"/>
      <c r="DK51" s="119"/>
      <c r="DL51" s="119"/>
    </row>
    <row r="52" ht="30" customHeight="1">
      <c r="B52" s="366"/>
      <c r="C52" s="46" t="s">
        <v>246</v>
      </c>
      <c r="D52" s="46" t="s">
        <v>247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09"/>
      <c r="BY52" s="119"/>
      <c r="BZ52" s="119"/>
      <c r="CA52" s="119"/>
      <c r="CB52" s="119"/>
      <c r="CC52" s="119"/>
      <c r="CD52" s="119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119"/>
      <c r="CS52" s="119"/>
      <c r="CT52" s="119"/>
      <c r="CU52" s="119"/>
      <c r="CV52" s="119"/>
      <c r="CW52" s="119"/>
      <c r="CX52" s="119"/>
      <c r="CY52" s="119"/>
      <c r="CZ52" s="203"/>
      <c r="DA52" s="203"/>
      <c r="DB52" s="119"/>
      <c r="DC52" s="119"/>
      <c r="DD52" s="119"/>
      <c r="DE52" s="119"/>
      <c r="DF52" s="119"/>
      <c r="DG52" s="119"/>
      <c r="DH52" s="119"/>
      <c r="DI52" s="119"/>
      <c r="DJ52" s="119"/>
      <c r="DK52" s="119"/>
      <c r="DL52" s="119"/>
    </row>
    <row r="53" ht="49.5" customHeight="1">
      <c r="B53" s="366"/>
      <c r="C53" s="228" t="s">
        <v>248</v>
      </c>
      <c r="D53" s="46" t="s">
        <v>247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07"/>
      <c r="AS53" s="207"/>
      <c r="AT53" s="46"/>
      <c r="AU53" s="46"/>
      <c r="AV53" s="46"/>
      <c r="AW53" s="46"/>
      <c r="AX53" s="46"/>
      <c r="AY53" s="46"/>
      <c r="AZ53" s="46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1"/>
      <c r="BY53" s="46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  <c r="CU53" s="119"/>
      <c r="CV53" s="119"/>
      <c r="CW53" s="119"/>
      <c r="CX53" s="119"/>
      <c r="CY53" s="119"/>
      <c r="CZ53" s="119"/>
      <c r="DA53" s="119"/>
      <c r="DB53" s="203"/>
      <c r="DC53" s="203"/>
      <c r="DD53" s="203"/>
      <c r="DE53" s="203"/>
      <c r="DF53" s="203"/>
      <c r="DG53" s="203"/>
      <c r="DH53" s="119"/>
      <c r="DI53" s="119"/>
      <c r="DJ53" s="119"/>
      <c r="DK53" s="119"/>
      <c r="DL53" s="119"/>
    </row>
    <row r="54" ht="30" customHeight="1">
      <c r="B54" s="366"/>
      <c r="C54" s="228" t="s">
        <v>249</v>
      </c>
      <c r="D54" s="46" t="s">
        <v>239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09"/>
      <c r="BY54" s="46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  <c r="CU54" s="119"/>
      <c r="CV54" s="119"/>
      <c r="CW54" s="119"/>
      <c r="CX54" s="119"/>
      <c r="CY54" s="119"/>
      <c r="CZ54" s="119"/>
      <c r="DA54" s="119"/>
      <c r="DB54" s="119"/>
      <c r="DC54" s="46"/>
      <c r="DD54" s="119"/>
      <c r="DE54" s="119"/>
      <c r="DF54" s="119"/>
      <c r="DG54" s="119"/>
      <c r="DH54" s="203"/>
      <c r="DI54" s="203"/>
      <c r="DJ54" s="203"/>
      <c r="DK54" s="119"/>
      <c r="DL54" s="119"/>
    </row>
    <row r="55" ht="30" customHeight="1">
      <c r="B55" s="366"/>
      <c r="C55" s="46" t="s">
        <v>250</v>
      </c>
      <c r="D55" s="46" t="s">
        <v>239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09"/>
      <c r="BY55" s="46"/>
      <c r="BZ55" s="119"/>
      <c r="CA55" s="119"/>
      <c r="CB55" s="119"/>
      <c r="CC55" s="119"/>
      <c r="CD55" s="119"/>
      <c r="CE55" s="119"/>
      <c r="CF55" s="119"/>
      <c r="CG55" s="119"/>
      <c r="CH55" s="119"/>
      <c r="CI55" s="119"/>
      <c r="CJ55" s="119"/>
      <c r="CK55" s="119"/>
      <c r="CL55" s="119"/>
      <c r="CM55" s="119"/>
      <c r="CN55" s="119"/>
      <c r="CO55" s="119"/>
      <c r="CP55" s="119"/>
      <c r="CQ55" s="119"/>
      <c r="CR55" s="119"/>
      <c r="CS55" s="119"/>
      <c r="CT55" s="119"/>
      <c r="CU55" s="119"/>
      <c r="CV55" s="119"/>
      <c r="CW55" s="119"/>
      <c r="CX55" s="119"/>
      <c r="CY55" s="119"/>
      <c r="CZ55" s="119"/>
      <c r="DA55" s="119"/>
      <c r="DB55" s="119"/>
      <c r="DC55" s="46"/>
      <c r="DD55" s="119"/>
      <c r="DE55" s="119"/>
      <c r="DF55" s="119"/>
      <c r="DG55" s="119"/>
      <c r="DH55" s="119"/>
      <c r="DI55" s="119"/>
      <c r="DJ55" s="119"/>
      <c r="DK55" s="203"/>
      <c r="DL55" s="119"/>
    </row>
  </sheetData>
  <mergeCells count="35">
    <mergeCell ref="BU2:BX2"/>
    <mergeCell ref="B51:B55"/>
    <mergeCell ref="CG2:CJ2"/>
    <mergeCell ref="E2:H2"/>
    <mergeCell ref="AK2:AN2"/>
    <mergeCell ref="DA2:DD2"/>
    <mergeCell ref="CS2:CV2"/>
    <mergeCell ref="DI2:DL2"/>
    <mergeCell ref="AC2:AF2"/>
    <mergeCell ref="Q2:T2"/>
    <mergeCell ref="CK2:CN2"/>
    <mergeCell ref="BM2:BP2"/>
    <mergeCell ref="DE2:DH2"/>
    <mergeCell ref="AS2:AV2"/>
    <mergeCell ref="BI2:BL2"/>
    <mergeCell ref="CW2:CZ2"/>
    <mergeCell ref="B4:B22"/>
    <mergeCell ref="CO2:CR2"/>
    <mergeCell ref="Y2:AB2"/>
    <mergeCell ref="BA2:BD2"/>
    <mergeCell ref="C1:BT1"/>
    <mergeCell ref="AG2:AJ2"/>
    <mergeCell ref="CC2:CF2"/>
    <mergeCell ref="BY2:CB2"/>
    <mergeCell ref="U2:X2"/>
    <mergeCell ref="AW2:AZ2"/>
    <mergeCell ref="BQ2:BT2"/>
    <mergeCell ref="B2:C2"/>
    <mergeCell ref="AO2:AR2"/>
    <mergeCell ref="M2:P2"/>
    <mergeCell ref="I2:L2"/>
    <mergeCell ref="B3:C3"/>
    <mergeCell ref="B46:B50"/>
    <mergeCell ref="BE2:BH2"/>
    <mergeCell ref="B36:B4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Normal="100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09" width="2.4990234375" customWidth="1" style="118"/>
  </cols>
  <sheetData>
    <row r="1" ht="30" customHeight="1">
      <c r="C1" s="359" t="s">
        <v>171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DF1" s="118" t="s">
        <v>172</v>
      </c>
    </row>
    <row r="2" ht="30" customHeight="1">
      <c r="B2" s="361" t="s">
        <v>173</v>
      </c>
      <c r="C2" s="361"/>
      <c r="D2" s="233" t="s">
        <v>174</v>
      </c>
      <c r="E2" s="362" t="n">
        <v>8</v>
      </c>
      <c r="F2" s="363"/>
      <c r="G2" s="363"/>
      <c r="H2" s="363"/>
      <c r="I2" s="362" t="n">
        <v>9</v>
      </c>
      <c r="J2" s="363"/>
      <c r="K2" s="363"/>
      <c r="L2" s="363"/>
      <c r="M2" s="362" t="n">
        <v>10</v>
      </c>
      <c r="N2" s="363"/>
      <c r="O2" s="363"/>
      <c r="P2" s="363"/>
      <c r="Q2" s="362" t="n">
        <v>11</v>
      </c>
      <c r="R2" s="363"/>
      <c r="S2" s="363"/>
      <c r="T2" s="363"/>
      <c r="U2" s="362" t="n">
        <v>12</v>
      </c>
      <c r="V2" s="363"/>
      <c r="W2" s="363"/>
      <c r="X2" s="363"/>
      <c r="Y2" s="363" t="n">
        <v>1</v>
      </c>
      <c r="Z2" s="363"/>
      <c r="AA2" s="363"/>
      <c r="AB2" s="363"/>
      <c r="AC2" s="363" t="n">
        <v>2</v>
      </c>
      <c r="AD2" s="363"/>
      <c r="AE2" s="363"/>
      <c r="AF2" s="363"/>
      <c r="AG2" s="363" t="n">
        <v>3</v>
      </c>
      <c r="AH2" s="363"/>
      <c r="AI2" s="363"/>
      <c r="AJ2" s="363"/>
      <c r="AK2" s="363" t="n">
        <v>4</v>
      </c>
      <c r="AL2" s="363"/>
      <c r="AM2" s="363"/>
      <c r="AN2" s="363"/>
      <c r="AO2" s="363" t="n">
        <v>5</v>
      </c>
      <c r="AP2" s="363"/>
      <c r="AQ2" s="363"/>
      <c r="AR2" s="363"/>
      <c r="AS2" s="363" t="n">
        <v>6</v>
      </c>
      <c r="AT2" s="363"/>
      <c r="AU2" s="363"/>
      <c r="AV2" s="363"/>
      <c r="AW2" s="363" t="n">
        <v>7</v>
      </c>
      <c r="AX2" s="363"/>
      <c r="AY2" s="363"/>
      <c r="AZ2" s="363"/>
      <c r="BA2" s="363" t="n">
        <v>8</v>
      </c>
      <c r="BB2" s="363"/>
      <c r="BC2" s="363"/>
      <c r="BD2" s="363"/>
      <c r="BE2" s="363" t="n">
        <v>9</v>
      </c>
      <c r="BF2" s="363"/>
      <c r="BG2" s="363"/>
      <c r="BH2" s="363"/>
      <c r="BI2" s="363" t="n">
        <v>10</v>
      </c>
      <c r="BJ2" s="363"/>
      <c r="BK2" s="363"/>
      <c r="BL2" s="363"/>
      <c r="BM2" s="363" t="n">
        <v>11</v>
      </c>
      <c r="BN2" s="363"/>
      <c r="BO2" s="363"/>
      <c r="BP2" s="363"/>
      <c r="BQ2" s="363" t="n">
        <v>12</v>
      </c>
      <c r="BR2" s="363"/>
      <c r="BS2" s="363"/>
      <c r="BT2" s="363"/>
      <c r="BU2" s="363" t="n">
        <v>1</v>
      </c>
      <c r="BV2" s="363"/>
      <c r="BW2" s="363"/>
      <c r="BX2" s="363"/>
      <c r="BY2" s="364" t="n">
        <v>2</v>
      </c>
      <c r="BZ2" s="364"/>
      <c r="CA2" s="364"/>
      <c r="CB2" s="364"/>
      <c r="CC2" s="364" t="n">
        <v>3</v>
      </c>
      <c r="CD2" s="364"/>
      <c r="CE2" s="364"/>
      <c r="CF2" s="364"/>
      <c r="CG2" s="364" t="n">
        <v>4</v>
      </c>
      <c r="CH2" s="364"/>
      <c r="CI2" s="364"/>
      <c r="CJ2" s="364"/>
      <c r="CK2" s="364" t="n">
        <v>5</v>
      </c>
      <c r="CL2" s="364"/>
      <c r="CM2" s="364"/>
      <c r="CN2" s="364"/>
      <c r="CO2" s="364" t="n">
        <v>6</v>
      </c>
      <c r="CP2" s="364"/>
      <c r="CQ2" s="364"/>
      <c r="CR2" s="364"/>
      <c r="CS2" s="364" t="n">
        <v>7</v>
      </c>
      <c r="CT2" s="364"/>
      <c r="CU2" s="364"/>
      <c r="CV2" s="364"/>
      <c r="CW2" s="364" t="n">
        <v>8</v>
      </c>
      <c r="CX2" s="364"/>
      <c r="CY2" s="364"/>
      <c r="CZ2" s="364"/>
      <c r="DA2" s="364" t="n">
        <v>9</v>
      </c>
      <c r="DB2" s="364"/>
      <c r="DC2" s="364"/>
      <c r="DD2" s="364"/>
      <c r="DE2" s="213"/>
    </row>
    <row r="3" ht="30" customHeight="1">
      <c r="B3" s="361" t="s">
        <v>175</v>
      </c>
      <c r="C3" s="361"/>
      <c r="D3" s="233" t="s">
        <v>176</v>
      </c>
      <c r="E3" s="230" t="n">
        <v>1</v>
      </c>
      <c r="F3" s="229" t="n">
        <v>2</v>
      </c>
      <c r="G3" s="229" t="n">
        <v>3</v>
      </c>
      <c r="H3" s="229" t="n">
        <v>4</v>
      </c>
      <c r="I3" s="229" t="n">
        <v>1</v>
      </c>
      <c r="J3" s="229" t="n">
        <v>2</v>
      </c>
      <c r="K3" s="229" t="n">
        <v>3</v>
      </c>
      <c r="L3" s="229" t="n">
        <v>4</v>
      </c>
      <c r="M3" s="230" t="n">
        <v>1</v>
      </c>
      <c r="N3" s="229" t="n">
        <v>2</v>
      </c>
      <c r="O3" s="229" t="n">
        <v>3</v>
      </c>
      <c r="P3" s="229" t="n">
        <v>4</v>
      </c>
      <c r="Q3" s="229" t="n">
        <v>1</v>
      </c>
      <c r="R3" s="229" t="n">
        <v>2</v>
      </c>
      <c r="S3" s="229" t="n">
        <v>3</v>
      </c>
      <c r="T3" s="229" t="n">
        <v>4</v>
      </c>
      <c r="U3" s="230" t="n">
        <v>1</v>
      </c>
      <c r="V3" s="229" t="n">
        <v>2</v>
      </c>
      <c r="W3" s="229" t="n">
        <v>3</v>
      </c>
      <c r="X3" s="229" t="n">
        <v>4</v>
      </c>
      <c r="Y3" s="229" t="n">
        <v>1</v>
      </c>
      <c r="Z3" s="229" t="n">
        <v>2</v>
      </c>
      <c r="AA3" s="229" t="n">
        <v>3</v>
      </c>
      <c r="AB3" s="229" t="n">
        <v>4</v>
      </c>
      <c r="AC3" s="230" t="n">
        <v>1</v>
      </c>
      <c r="AD3" s="229" t="n">
        <v>2</v>
      </c>
      <c r="AE3" s="229" t="n">
        <v>3</v>
      </c>
      <c r="AF3" s="229" t="n">
        <v>4</v>
      </c>
      <c r="AG3" s="229" t="n">
        <v>1</v>
      </c>
      <c r="AH3" s="229" t="n">
        <v>2</v>
      </c>
      <c r="AI3" s="229" t="n">
        <v>3</v>
      </c>
      <c r="AJ3" s="229" t="n">
        <v>4</v>
      </c>
      <c r="AK3" s="230" t="n">
        <v>1</v>
      </c>
      <c r="AL3" s="229" t="n">
        <v>2</v>
      </c>
      <c r="AM3" s="229" t="n">
        <v>3</v>
      </c>
      <c r="AN3" s="229" t="n">
        <v>4</v>
      </c>
      <c r="AO3" s="229" t="n">
        <v>1</v>
      </c>
      <c r="AP3" s="229" t="n">
        <v>2</v>
      </c>
      <c r="AQ3" s="229" t="n">
        <v>3</v>
      </c>
      <c r="AR3" s="229" t="n">
        <v>4</v>
      </c>
      <c r="AS3" s="230" t="n">
        <v>1</v>
      </c>
      <c r="AT3" s="229" t="n">
        <v>2</v>
      </c>
      <c r="AU3" s="229" t="n">
        <v>3</v>
      </c>
      <c r="AV3" s="229" t="n">
        <v>4</v>
      </c>
      <c r="AW3" s="229" t="n">
        <v>1</v>
      </c>
      <c r="AX3" s="229" t="n">
        <v>2</v>
      </c>
      <c r="AY3" s="229" t="n">
        <v>3</v>
      </c>
      <c r="AZ3" s="229" t="n">
        <v>4</v>
      </c>
      <c r="BA3" s="230" t="n">
        <v>1</v>
      </c>
      <c r="BB3" s="229" t="n">
        <v>2</v>
      </c>
      <c r="BC3" s="229" t="n">
        <v>3</v>
      </c>
      <c r="BD3" s="229" t="n">
        <v>4</v>
      </c>
      <c r="BE3" s="229" t="n">
        <v>1</v>
      </c>
      <c r="BF3" s="229" t="n">
        <v>2</v>
      </c>
      <c r="BG3" s="229" t="n">
        <v>3</v>
      </c>
      <c r="BH3" s="229" t="n">
        <v>4</v>
      </c>
      <c r="BI3" s="230" t="n">
        <v>1</v>
      </c>
      <c r="BJ3" s="229" t="n">
        <v>2</v>
      </c>
      <c r="BK3" s="229" t="n">
        <v>3</v>
      </c>
      <c r="BL3" s="229" t="n">
        <v>4</v>
      </c>
      <c r="BM3" s="229" t="n">
        <v>1</v>
      </c>
      <c r="BN3" s="229" t="n">
        <v>2</v>
      </c>
      <c r="BO3" s="229" t="n">
        <v>3</v>
      </c>
      <c r="BP3" s="229" t="n">
        <v>4</v>
      </c>
      <c r="BQ3" s="231" t="n">
        <v>1</v>
      </c>
      <c r="BR3" s="231" t="n">
        <v>2</v>
      </c>
      <c r="BS3" s="231" t="n">
        <v>3</v>
      </c>
      <c r="BT3" s="231" t="n">
        <v>4</v>
      </c>
      <c r="BU3" s="231" t="n">
        <v>1</v>
      </c>
      <c r="BV3" s="231" t="n">
        <v>2</v>
      </c>
      <c r="BW3" s="231" t="n">
        <v>3</v>
      </c>
      <c r="BX3" s="217" t="n">
        <v>4</v>
      </c>
      <c r="BY3" s="229" t="n">
        <v>1</v>
      </c>
      <c r="BZ3" s="231" t="n">
        <v>2</v>
      </c>
      <c r="CA3" s="231" t="n">
        <v>3</v>
      </c>
      <c r="CB3" s="231" t="n">
        <v>4</v>
      </c>
      <c r="CC3" s="231" t="n">
        <v>1</v>
      </c>
      <c r="CD3" s="231" t="n">
        <v>2</v>
      </c>
      <c r="CE3" s="231" t="n">
        <v>3</v>
      </c>
      <c r="CF3" s="231" t="n">
        <v>4</v>
      </c>
      <c r="CG3" s="231" t="n">
        <v>1</v>
      </c>
      <c r="CH3" s="231" t="n">
        <v>2</v>
      </c>
      <c r="CI3" s="231" t="n">
        <v>3</v>
      </c>
      <c r="CJ3" s="231" t="n">
        <v>4</v>
      </c>
      <c r="CK3" s="231" t="n">
        <v>1</v>
      </c>
      <c r="CL3" s="231" t="n">
        <v>2</v>
      </c>
      <c r="CM3" s="231" t="n">
        <v>3</v>
      </c>
      <c r="CN3" s="231" t="n">
        <v>4</v>
      </c>
      <c r="CO3" s="231" t="n">
        <v>1</v>
      </c>
      <c r="CP3" s="231" t="n">
        <v>2</v>
      </c>
      <c r="CQ3" s="231" t="n">
        <v>3</v>
      </c>
      <c r="CR3" s="231" t="n">
        <v>4</v>
      </c>
      <c r="CS3" s="231" t="n">
        <v>1</v>
      </c>
      <c r="CT3" s="231" t="n">
        <v>2</v>
      </c>
      <c r="CU3" s="231" t="n">
        <v>3</v>
      </c>
      <c r="CV3" s="231" t="n">
        <v>4</v>
      </c>
      <c r="CW3" s="231" t="n">
        <v>1</v>
      </c>
      <c r="CX3" s="231" t="n">
        <v>2</v>
      </c>
      <c r="CY3" s="231" t="n">
        <v>3</v>
      </c>
      <c r="CZ3" s="231" t="n">
        <v>4</v>
      </c>
      <c r="DA3" s="231" t="n">
        <v>1</v>
      </c>
      <c r="DB3" s="231" t="n">
        <v>2</v>
      </c>
      <c r="DC3" s="231" t="n">
        <v>3</v>
      </c>
      <c r="DD3" s="231" t="n">
        <v>4</v>
      </c>
      <c r="DE3" s="231" t="n">
        <v>1</v>
      </c>
    </row>
    <row r="4" ht="30" customHeight="1">
      <c r="B4" s="367" t="s">
        <v>177</v>
      </c>
      <c r="C4" s="7" t="s">
        <v>178</v>
      </c>
      <c r="D4" s="46" t="s">
        <v>179</v>
      </c>
      <c r="E4" s="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86"/>
      <c r="R4" s="86"/>
      <c r="S4" s="86"/>
      <c r="T4" s="86"/>
      <c r="U4" s="86"/>
      <c r="V4" s="86"/>
      <c r="W4" s="207"/>
      <c r="X4" s="50"/>
      <c r="Y4" s="50"/>
      <c r="Z4" s="207"/>
      <c r="AA4" s="207"/>
      <c r="AB4" s="472" t="s">
        <v>180</v>
      </c>
      <c r="AC4" s="207"/>
      <c r="AD4" s="207"/>
      <c r="AE4" s="50"/>
      <c r="AF4" s="50"/>
      <c r="AG4" s="50"/>
      <c r="AH4" s="50"/>
      <c r="AI4" s="50"/>
      <c r="AJ4" s="50"/>
      <c r="AK4" s="50"/>
      <c r="AL4" s="50"/>
      <c r="AM4" s="57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89"/>
      <c r="BB4" s="89"/>
      <c r="BC4" s="89"/>
      <c r="BD4" s="8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0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5"/>
    </row>
    <row r="5" ht="30" customHeight="1">
      <c r="B5" s="367"/>
      <c r="C5" s="193" t="s">
        <v>181</v>
      </c>
      <c r="D5" s="199" t="s">
        <v>182</v>
      </c>
      <c r="E5" s="9"/>
      <c r="F5" s="50"/>
      <c r="G5" s="50"/>
      <c r="H5" s="50"/>
      <c r="I5" s="50"/>
      <c r="J5" s="50"/>
      <c r="K5" s="50"/>
      <c r="L5" s="50"/>
      <c r="M5" s="86"/>
      <c r="N5" s="86"/>
      <c r="O5" s="86"/>
      <c r="P5" s="80"/>
      <c r="Q5" s="86"/>
      <c r="R5" s="86"/>
      <c r="S5" s="86"/>
      <c r="T5" s="86"/>
      <c r="U5" s="70"/>
      <c r="V5" s="86"/>
      <c r="W5" s="86"/>
      <c r="X5" s="86"/>
      <c r="Y5" s="86"/>
      <c r="Z5" s="86"/>
      <c r="AA5" s="86"/>
      <c r="AB5" s="86"/>
      <c r="AC5" s="86"/>
      <c r="AD5" s="86"/>
      <c r="AE5" s="86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203"/>
      <c r="AU5" s="203"/>
      <c r="AV5" s="203"/>
      <c r="AW5" s="206"/>
      <c r="AX5" s="50"/>
      <c r="AY5" s="50"/>
      <c r="AZ5" s="50"/>
      <c r="BA5" s="89"/>
      <c r="BB5" s="89"/>
      <c r="BC5" s="89"/>
      <c r="BD5" s="8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0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5"/>
    </row>
    <row r="6" ht="16.5" customHeight="1">
      <c r="B6" s="367"/>
      <c r="C6" s="208" t="s">
        <v>183</v>
      </c>
      <c r="D6" s="200" t="s">
        <v>184</v>
      </c>
      <c r="E6" s="9"/>
      <c r="F6" s="50"/>
      <c r="G6" s="50"/>
      <c r="H6" s="50"/>
      <c r="I6" s="50"/>
      <c r="J6" s="50"/>
      <c r="K6" s="50"/>
      <c r="L6" s="50"/>
      <c r="M6" s="86"/>
      <c r="N6" s="86"/>
      <c r="O6" s="86"/>
      <c r="P6" s="80"/>
      <c r="Q6" s="86"/>
      <c r="R6" s="86"/>
      <c r="S6" s="86"/>
      <c r="T6" s="86"/>
      <c r="U6" s="70"/>
      <c r="V6" s="86"/>
      <c r="W6" s="86"/>
      <c r="X6" s="86"/>
      <c r="Y6" s="86"/>
      <c r="Z6" s="86"/>
      <c r="AA6" s="86"/>
      <c r="AB6" s="86"/>
      <c r="AC6" s="86"/>
      <c r="AD6" s="86"/>
      <c r="AE6" s="86"/>
      <c r="AF6" s="50"/>
      <c r="AG6" s="50"/>
      <c r="AH6" s="50"/>
      <c r="AI6" s="50"/>
      <c r="AJ6" s="50"/>
      <c r="AK6" s="50"/>
      <c r="AL6" s="50"/>
      <c r="AM6" s="57"/>
      <c r="AN6" s="50"/>
      <c r="AO6" s="50"/>
      <c r="AP6" s="206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89"/>
      <c r="BB6" s="89"/>
      <c r="BC6" s="89"/>
      <c r="BD6" s="8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0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5"/>
    </row>
    <row r="7" ht="30" customHeight="1">
      <c r="B7" s="367"/>
      <c r="C7" s="209" t="s">
        <v>185</v>
      </c>
      <c r="D7" s="204" t="s">
        <v>184</v>
      </c>
      <c r="E7" s="19"/>
      <c r="F7" s="46"/>
      <c r="G7" s="50"/>
      <c r="H7" s="50"/>
      <c r="I7" s="50"/>
      <c r="J7" s="50"/>
      <c r="K7" s="50"/>
      <c r="L7" s="50"/>
      <c r="M7" s="86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89"/>
      <c r="BB7" s="89"/>
      <c r="BC7" s="89"/>
      <c r="BD7" s="89"/>
      <c r="BE7" s="226" t="s">
        <v>185</v>
      </c>
      <c r="BF7" s="226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0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</row>
    <row r="8" ht="30" customHeight="1">
      <c r="B8" s="367"/>
      <c r="C8" s="209" t="s">
        <v>186</v>
      </c>
      <c r="D8" s="204" t="s">
        <v>182</v>
      </c>
      <c r="E8" s="19"/>
      <c r="F8" s="46"/>
      <c r="G8" s="50"/>
      <c r="H8" s="50"/>
      <c r="I8" s="50"/>
      <c r="J8" s="50"/>
      <c r="K8" s="50"/>
      <c r="L8" s="50"/>
      <c r="M8" s="86"/>
      <c r="N8" s="86"/>
      <c r="O8" s="189"/>
      <c r="P8" s="190"/>
      <c r="Q8" s="189"/>
      <c r="R8" s="189"/>
      <c r="S8" s="50"/>
      <c r="T8" s="50"/>
      <c r="U8" s="9"/>
      <c r="V8" s="50"/>
      <c r="W8" s="50"/>
      <c r="X8" s="46"/>
      <c r="Y8" s="46"/>
      <c r="Z8" s="207"/>
      <c r="AA8" s="207"/>
      <c r="AB8" s="46"/>
      <c r="AC8" s="50"/>
      <c r="AD8" s="207"/>
      <c r="AE8" s="46"/>
      <c r="AF8" s="50"/>
      <c r="AG8" s="50"/>
      <c r="AH8" s="50"/>
      <c r="AI8" s="50"/>
      <c r="AJ8" s="50"/>
      <c r="AK8" s="50"/>
      <c r="AL8" s="203"/>
      <c r="AM8" s="196"/>
      <c r="AN8" s="196"/>
      <c r="AO8" s="196"/>
      <c r="AP8" s="196"/>
      <c r="AQ8" s="196"/>
      <c r="AR8" s="196"/>
      <c r="AS8" s="50"/>
      <c r="AT8" s="206"/>
      <c r="AU8" s="50"/>
      <c r="AV8" s="50"/>
      <c r="AW8" s="50"/>
      <c r="AX8" s="50"/>
      <c r="AY8" s="50"/>
      <c r="AZ8" s="50"/>
      <c r="BA8" s="89"/>
      <c r="BB8" s="89"/>
      <c r="BC8" s="89"/>
      <c r="BD8" s="8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0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</row>
    <row r="9" ht="30" customHeight="1">
      <c r="B9" s="367"/>
      <c r="C9" s="208" t="s">
        <v>187</v>
      </c>
      <c r="D9" s="103" t="s">
        <v>182</v>
      </c>
      <c r="E9" s="9"/>
      <c r="F9" s="50"/>
      <c r="G9" s="50"/>
      <c r="H9" s="50"/>
      <c r="I9" s="50"/>
      <c r="J9" s="50"/>
      <c r="K9" s="50"/>
      <c r="L9" s="50"/>
      <c r="M9" s="86"/>
      <c r="N9" s="86"/>
      <c r="O9" s="86"/>
      <c r="P9" s="80"/>
      <c r="Q9" s="86"/>
      <c r="R9" s="86"/>
      <c r="S9" s="86"/>
      <c r="T9" s="86"/>
      <c r="U9" s="70"/>
      <c r="V9" s="86"/>
      <c r="W9" s="86"/>
      <c r="X9" s="86"/>
      <c r="Y9" s="86"/>
      <c r="Z9" s="86"/>
      <c r="AA9" s="86"/>
      <c r="AB9" s="86"/>
      <c r="AC9" s="86"/>
      <c r="AD9" s="86"/>
      <c r="AE9" s="86"/>
      <c r="AF9" s="50"/>
      <c r="AG9" s="50"/>
      <c r="AH9" s="50"/>
      <c r="AI9" s="50"/>
      <c r="AJ9" s="50"/>
      <c r="AK9" s="50"/>
      <c r="AL9" s="50"/>
      <c r="AM9" s="50"/>
      <c r="AN9" s="50"/>
      <c r="AO9" s="196"/>
      <c r="AP9" s="196"/>
      <c r="AQ9" s="196"/>
      <c r="AR9" s="196"/>
      <c r="AS9" s="50"/>
      <c r="AT9" s="50"/>
      <c r="AU9" s="207"/>
      <c r="AV9" s="50"/>
      <c r="AW9" s="206"/>
      <c r="AX9" s="50"/>
      <c r="AY9" s="50"/>
      <c r="AZ9" s="50"/>
      <c r="BA9" s="89"/>
      <c r="BB9" s="89"/>
      <c r="BC9" s="89"/>
      <c r="BD9" s="8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0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5"/>
    </row>
    <row r="10" ht="30" customHeight="1">
      <c r="B10" s="367"/>
      <c r="C10" s="209" t="s">
        <v>188</v>
      </c>
      <c r="D10" s="201" t="s">
        <v>182</v>
      </c>
      <c r="E10" s="19"/>
      <c r="F10" s="46"/>
      <c r="G10" s="50"/>
      <c r="H10" s="50"/>
      <c r="I10" s="50"/>
      <c r="J10" s="50"/>
      <c r="K10" s="50"/>
      <c r="L10" s="57"/>
      <c r="M10" s="50"/>
      <c r="N10" s="50"/>
      <c r="O10" s="189"/>
      <c r="P10" s="190"/>
      <c r="Q10" s="189"/>
      <c r="R10" s="189"/>
      <c r="S10" s="50"/>
      <c r="T10" s="50"/>
      <c r="U10" s="50"/>
      <c r="V10" s="46"/>
      <c r="W10" s="207"/>
      <c r="X10" s="207"/>
      <c r="Y10" s="207"/>
      <c r="Z10" s="207"/>
      <c r="AA10" s="207"/>
      <c r="AB10" s="207"/>
      <c r="AC10" s="207"/>
      <c r="AD10" s="207"/>
      <c r="AE10" s="46"/>
      <c r="AF10" s="50"/>
      <c r="AG10" s="50"/>
      <c r="AH10" s="50"/>
      <c r="AI10" s="50"/>
      <c r="AJ10" s="50"/>
      <c r="AK10" s="50"/>
      <c r="AL10" s="50"/>
      <c r="AM10" s="50"/>
      <c r="AN10" s="50"/>
      <c r="AO10" s="196"/>
      <c r="AP10" s="196"/>
      <c r="AQ10" s="196"/>
      <c r="AR10" s="196"/>
      <c r="AS10" s="50"/>
      <c r="AT10" s="206"/>
      <c r="AU10" s="50"/>
      <c r="AV10" s="50"/>
      <c r="AW10" s="50"/>
      <c r="AX10" s="50"/>
      <c r="AY10" s="50"/>
      <c r="AZ10" s="50"/>
      <c r="BA10" s="89"/>
      <c r="BB10" s="89"/>
      <c r="BC10" s="89"/>
      <c r="BD10" s="8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0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</row>
    <row r="11" ht="28.5" customHeight="1">
      <c r="B11" s="367"/>
      <c r="C11" s="208" t="s">
        <v>189</v>
      </c>
      <c r="D11" s="200" t="s">
        <v>182</v>
      </c>
      <c r="E11" s="9"/>
      <c r="F11" s="50"/>
      <c r="G11" s="50"/>
      <c r="H11" s="50"/>
      <c r="I11" s="50"/>
      <c r="J11" s="50"/>
      <c r="K11" s="50"/>
      <c r="L11" s="50"/>
      <c r="M11" s="86"/>
      <c r="N11" s="86"/>
      <c r="O11" s="86"/>
      <c r="P11" s="80"/>
      <c r="Q11" s="86"/>
      <c r="R11" s="86"/>
      <c r="S11" s="86"/>
      <c r="T11" s="86"/>
      <c r="U11" s="70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50"/>
      <c r="AG11" s="50"/>
      <c r="AH11" s="50"/>
      <c r="AI11" s="50"/>
      <c r="AJ11" s="50"/>
      <c r="AK11" s="50"/>
      <c r="AL11" s="50"/>
      <c r="AM11" s="50"/>
      <c r="AN11" s="50"/>
      <c r="AO11" s="196"/>
      <c r="AP11" s="50"/>
      <c r="AQ11" s="50"/>
      <c r="AR11" s="196"/>
      <c r="AS11" s="198"/>
      <c r="AT11" s="50"/>
      <c r="AU11" s="207"/>
      <c r="AV11" s="50"/>
      <c r="AW11" s="206"/>
      <c r="AX11" s="50"/>
      <c r="AY11" s="50"/>
      <c r="AZ11" s="50"/>
      <c r="BA11" s="89"/>
      <c r="BB11" s="89"/>
      <c r="BC11" s="89"/>
      <c r="BD11" s="8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0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5"/>
    </row>
    <row r="12" ht="16.5" customHeight="1">
      <c r="B12" s="367"/>
      <c r="C12" s="193" t="s">
        <v>190</v>
      </c>
      <c r="D12" s="200" t="s">
        <v>182</v>
      </c>
      <c r="E12" s="9"/>
      <c r="F12" s="50"/>
      <c r="G12" s="50"/>
      <c r="H12" s="50"/>
      <c r="I12" s="50"/>
      <c r="J12" s="50"/>
      <c r="K12" s="50"/>
      <c r="L12" s="50"/>
      <c r="M12" s="86"/>
      <c r="N12" s="86"/>
      <c r="O12" s="86"/>
      <c r="P12" s="80"/>
      <c r="Q12" s="86"/>
      <c r="R12" s="86"/>
      <c r="S12" s="86"/>
      <c r="T12" s="86"/>
      <c r="U12" s="70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50"/>
      <c r="AG12" s="50"/>
      <c r="AH12" s="50"/>
      <c r="AI12" s="50"/>
      <c r="AJ12" s="50"/>
      <c r="AK12" s="50"/>
      <c r="AL12" s="50"/>
      <c r="AM12" s="50"/>
      <c r="AN12" s="50"/>
      <c r="AO12" s="196"/>
      <c r="AP12" s="50"/>
      <c r="AQ12" s="50"/>
      <c r="AR12" s="196"/>
      <c r="AS12" s="198"/>
      <c r="AT12" s="50"/>
      <c r="AU12" s="50"/>
      <c r="AV12" s="206"/>
      <c r="AW12" s="50"/>
      <c r="AX12" s="50"/>
      <c r="AY12" s="50"/>
      <c r="AZ12" s="50"/>
      <c r="BA12" s="89"/>
      <c r="BB12" s="89"/>
      <c r="BC12" s="89"/>
      <c r="BD12" s="8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0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5"/>
    </row>
    <row r="13" ht="30" customHeight="1">
      <c r="B13" s="367"/>
      <c r="C13" s="193" t="s">
        <v>191</v>
      </c>
      <c r="D13" s="200" t="s">
        <v>182</v>
      </c>
      <c r="E13" s="9"/>
      <c r="F13" s="50"/>
      <c r="G13" s="50"/>
      <c r="H13" s="50"/>
      <c r="I13" s="50"/>
      <c r="J13" s="50"/>
      <c r="K13" s="50"/>
      <c r="L13" s="50"/>
      <c r="M13" s="86"/>
      <c r="N13" s="86"/>
      <c r="O13" s="86"/>
      <c r="P13" s="80"/>
      <c r="Q13" s="86"/>
      <c r="R13" s="86"/>
      <c r="S13" s="86"/>
      <c r="T13" s="86"/>
      <c r="U13" s="70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50"/>
      <c r="AG13" s="50"/>
      <c r="AH13" s="50"/>
      <c r="AI13" s="50"/>
      <c r="AJ13" s="206"/>
      <c r="AK13" s="50"/>
      <c r="AL13" s="50"/>
      <c r="AM13" s="57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89"/>
      <c r="BB13" s="89"/>
      <c r="BC13" s="89"/>
      <c r="BD13" s="8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0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5"/>
    </row>
    <row r="14" ht="16.5" customHeight="1">
      <c r="B14" s="367"/>
      <c r="C14" s="208" t="s">
        <v>192</v>
      </c>
      <c r="D14" s="200" t="s">
        <v>182</v>
      </c>
      <c r="E14" s="9"/>
      <c r="F14" s="50"/>
      <c r="G14" s="50"/>
      <c r="H14" s="50"/>
      <c r="I14" s="50"/>
      <c r="J14" s="50"/>
      <c r="K14" s="50"/>
      <c r="L14" s="50"/>
      <c r="M14" s="86"/>
      <c r="N14" s="86"/>
      <c r="O14" s="86"/>
      <c r="P14" s="80"/>
      <c r="Q14" s="86"/>
      <c r="R14" s="86"/>
      <c r="S14" s="86"/>
      <c r="T14" s="86"/>
      <c r="U14" s="70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196"/>
      <c r="AS14" s="196"/>
      <c r="AT14" s="196"/>
      <c r="AU14" s="50"/>
      <c r="AV14" s="207"/>
      <c r="AW14" s="206"/>
      <c r="AX14" s="50"/>
      <c r="AY14" s="50"/>
      <c r="AZ14" s="50"/>
      <c r="BA14" s="89"/>
      <c r="BB14" s="89"/>
      <c r="BC14" s="89"/>
      <c r="BD14" s="8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0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5"/>
    </row>
    <row r="15" ht="30" customHeight="1">
      <c r="B15" s="367"/>
      <c r="C15" s="208" t="s">
        <v>193</v>
      </c>
      <c r="D15" s="200" t="s">
        <v>182</v>
      </c>
      <c r="E15" s="9"/>
      <c r="F15" s="50"/>
      <c r="G15" s="50"/>
      <c r="H15" s="50"/>
      <c r="I15" s="50"/>
      <c r="J15" s="50"/>
      <c r="K15" s="50"/>
      <c r="L15" s="50"/>
      <c r="M15" s="86"/>
      <c r="N15" s="86"/>
      <c r="O15" s="86"/>
      <c r="P15" s="80"/>
      <c r="Q15" s="86"/>
      <c r="R15" s="86"/>
      <c r="S15" s="86"/>
      <c r="T15" s="86"/>
      <c r="U15" s="70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196"/>
      <c r="AS15" s="196"/>
      <c r="AT15" s="196"/>
      <c r="AU15" s="50"/>
      <c r="AV15" s="206"/>
      <c r="AW15" s="50"/>
      <c r="AX15" s="50"/>
      <c r="AY15" s="50"/>
      <c r="AZ15" s="50"/>
      <c r="BA15" s="89"/>
      <c r="BB15" s="89"/>
      <c r="BC15" s="89"/>
      <c r="BD15" s="8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0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5"/>
    </row>
    <row r="16" ht="16.5" customHeight="1">
      <c r="B16" s="367"/>
      <c r="C16" s="208" t="s">
        <v>194</v>
      </c>
      <c r="D16" s="200" t="s">
        <v>182</v>
      </c>
      <c r="E16" s="9"/>
      <c r="F16" s="50"/>
      <c r="G16" s="50"/>
      <c r="H16" s="50"/>
      <c r="I16" s="50"/>
      <c r="J16" s="50"/>
      <c r="K16" s="50"/>
      <c r="L16" s="50"/>
      <c r="M16" s="57"/>
      <c r="N16" s="86"/>
      <c r="O16" s="86"/>
      <c r="P16" s="80"/>
      <c r="Q16" s="86"/>
      <c r="R16" s="86"/>
      <c r="S16" s="86"/>
      <c r="T16" s="86"/>
      <c r="U16" s="70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50"/>
      <c r="AG16" s="50"/>
      <c r="AH16" s="50"/>
      <c r="AI16" s="50"/>
      <c r="AJ16" s="50"/>
      <c r="AK16" s="50"/>
      <c r="AL16" s="50"/>
      <c r="AM16" s="50"/>
      <c r="AN16" s="196"/>
      <c r="AO16" s="196"/>
      <c r="AP16" s="196"/>
      <c r="AQ16" s="50"/>
      <c r="AR16" s="198"/>
      <c r="AS16" s="198"/>
      <c r="AT16" s="50"/>
      <c r="AU16" s="207"/>
      <c r="AV16" s="206"/>
      <c r="AW16" s="50"/>
      <c r="AX16" s="50"/>
      <c r="AY16" s="50"/>
      <c r="AZ16" s="50"/>
      <c r="BA16" s="89"/>
      <c r="BB16" s="89"/>
      <c r="BC16" s="89"/>
      <c r="BD16" s="8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0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5"/>
    </row>
    <row r="17" ht="30" customHeight="1">
      <c r="B17" s="367"/>
      <c r="C17" s="209" t="s">
        <v>195</v>
      </c>
      <c r="D17" s="202" t="s">
        <v>182</v>
      </c>
      <c r="E17" s="19"/>
      <c r="F17" s="46"/>
      <c r="G17" s="50"/>
      <c r="H17" s="50"/>
      <c r="I17" s="50"/>
      <c r="J17" s="50"/>
      <c r="K17" s="50"/>
      <c r="L17" s="50"/>
      <c r="M17" s="33"/>
      <c r="N17" s="50"/>
      <c r="O17" s="207"/>
      <c r="P17" s="207"/>
      <c r="Q17" s="207"/>
      <c r="R17" s="207"/>
      <c r="S17" s="70"/>
      <c r="T17" s="86"/>
      <c r="U17" s="70"/>
      <c r="V17" s="86"/>
      <c r="W17" s="86"/>
      <c r="X17" s="50"/>
      <c r="Y17" s="50"/>
      <c r="Z17" s="50"/>
      <c r="AA17" s="207"/>
      <c r="AB17" s="207"/>
      <c r="AC17" s="207"/>
      <c r="AD17" s="207"/>
      <c r="AE17" s="50"/>
      <c r="AF17" s="50"/>
      <c r="AG17" s="50"/>
      <c r="AH17" s="50"/>
      <c r="AI17" s="50"/>
      <c r="AJ17" s="50"/>
      <c r="AK17" s="50"/>
      <c r="AL17" s="50"/>
      <c r="AM17" s="57"/>
      <c r="AN17" s="57"/>
      <c r="AO17" s="50"/>
      <c r="AP17" s="50"/>
      <c r="AQ17" s="50"/>
      <c r="AR17" s="50"/>
      <c r="AS17" s="203"/>
      <c r="AT17" s="203"/>
      <c r="AU17" s="50"/>
      <c r="AV17" s="50"/>
      <c r="AW17" s="206"/>
      <c r="AX17" s="50"/>
      <c r="AY17" s="50"/>
      <c r="AZ17" s="50"/>
      <c r="BA17" s="89"/>
      <c r="BB17" s="89"/>
      <c r="BC17" s="89"/>
      <c r="BD17" s="8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0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</row>
    <row r="18" ht="30" customHeight="1">
      <c r="B18" s="367"/>
      <c r="C18" s="184" t="s">
        <v>196</v>
      </c>
      <c r="D18" s="228" t="s">
        <v>197</v>
      </c>
      <c r="E18" s="19"/>
      <c r="F18" s="46"/>
      <c r="G18" s="50"/>
      <c r="H18" s="50"/>
      <c r="I18" s="50"/>
      <c r="J18" s="50"/>
      <c r="K18" s="50"/>
      <c r="L18" s="50"/>
      <c r="M18" s="57"/>
      <c r="N18" s="50"/>
      <c r="O18" s="207"/>
      <c r="P18" s="207"/>
      <c r="Q18" s="207"/>
      <c r="R18" s="207"/>
      <c r="S18" s="70"/>
      <c r="T18" s="86"/>
      <c r="U18" s="70"/>
      <c r="V18" s="86"/>
      <c r="W18" s="86"/>
      <c r="X18" s="50"/>
      <c r="Y18" s="50"/>
      <c r="Z18" s="50"/>
      <c r="AA18" s="207"/>
      <c r="AB18" s="50"/>
      <c r="AC18" s="50"/>
      <c r="AD18" s="207"/>
      <c r="AE18" s="50"/>
      <c r="AF18" s="50"/>
      <c r="AG18" s="50"/>
      <c r="AH18" s="50"/>
      <c r="AI18" s="50"/>
      <c r="AJ18" s="50"/>
      <c r="AK18" s="50"/>
      <c r="AL18" s="50"/>
      <c r="AM18" s="57"/>
      <c r="AN18" s="57"/>
      <c r="AO18" s="50"/>
      <c r="AP18" s="50"/>
      <c r="AQ18" s="50"/>
      <c r="AR18" s="50"/>
      <c r="AS18" s="203"/>
      <c r="AT18" s="203"/>
      <c r="AU18" s="50"/>
      <c r="AV18" s="50"/>
      <c r="AW18" s="206"/>
      <c r="AX18" s="50"/>
      <c r="AY18" s="50"/>
      <c r="AZ18" s="50"/>
      <c r="BA18" s="89"/>
      <c r="BB18" s="89"/>
      <c r="BC18" s="89"/>
      <c r="BD18" s="8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0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</row>
    <row r="19" ht="30" customHeight="1">
      <c r="B19" s="367"/>
      <c r="C19" s="209" t="s">
        <v>198</v>
      </c>
      <c r="D19" s="228" t="s">
        <v>197</v>
      </c>
      <c r="E19" s="19"/>
      <c r="F19" s="46"/>
      <c r="G19" s="50"/>
      <c r="H19" s="50"/>
      <c r="I19" s="50"/>
      <c r="J19" s="50"/>
      <c r="K19" s="50"/>
      <c r="L19" s="50"/>
      <c r="M19" s="57"/>
      <c r="N19" s="50"/>
      <c r="O19" s="46"/>
      <c r="P19" s="46"/>
      <c r="Q19" s="46"/>
      <c r="R19" s="46"/>
      <c r="S19" s="70"/>
      <c r="T19" s="86"/>
      <c r="U19" s="70"/>
      <c r="V19" s="86"/>
      <c r="W19" s="86"/>
      <c r="X19" s="86"/>
      <c r="Y19" s="50"/>
      <c r="Z19" s="207"/>
      <c r="AA19" s="207"/>
      <c r="AB19" s="50"/>
      <c r="AC19" s="207"/>
      <c r="AD19" s="207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196"/>
      <c r="AP19" s="196"/>
      <c r="AQ19" s="50"/>
      <c r="AR19" s="50"/>
      <c r="AS19" s="50"/>
      <c r="AT19" s="206"/>
      <c r="AU19" s="50"/>
      <c r="AV19" s="50"/>
      <c r="AW19" s="50"/>
      <c r="AX19" s="50"/>
      <c r="AY19" s="50"/>
      <c r="AZ19" s="50"/>
      <c r="BA19" s="89"/>
      <c r="BB19" s="89"/>
      <c r="BC19" s="89"/>
      <c r="BD19" s="8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0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</row>
    <row r="20" ht="30" customHeight="1">
      <c r="B20" s="367"/>
      <c r="C20" s="184" t="s">
        <v>199</v>
      </c>
      <c r="D20" s="228" t="s">
        <v>197</v>
      </c>
      <c r="E20" s="19"/>
      <c r="F20" s="46"/>
      <c r="G20" s="50"/>
      <c r="H20" s="50"/>
      <c r="I20" s="50"/>
      <c r="J20" s="50"/>
      <c r="K20" s="50"/>
      <c r="L20" s="50"/>
      <c r="M20" s="57"/>
      <c r="N20" s="50"/>
      <c r="O20" s="46"/>
      <c r="P20" s="46"/>
      <c r="Q20" s="46"/>
      <c r="R20" s="46"/>
      <c r="S20" s="70"/>
      <c r="T20" s="50"/>
      <c r="U20" s="50"/>
      <c r="V20" s="50"/>
      <c r="W20" s="50"/>
      <c r="X20" s="50"/>
      <c r="Y20" s="50"/>
      <c r="Z20" s="207"/>
      <c r="AA20" s="207"/>
      <c r="AB20" s="207"/>
      <c r="AC20" s="50"/>
      <c r="AD20" s="207"/>
      <c r="AE20" s="50"/>
      <c r="AF20" s="50"/>
      <c r="AG20" s="50"/>
      <c r="AH20" s="50"/>
      <c r="AI20" s="50"/>
      <c r="AJ20" s="50"/>
      <c r="AK20" s="50"/>
      <c r="AL20" s="50"/>
      <c r="AM20" s="57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196"/>
      <c r="AY20" s="196"/>
      <c r="AZ20" s="196"/>
      <c r="BA20" s="89"/>
      <c r="BB20" s="89"/>
      <c r="BC20" s="89"/>
      <c r="BD20" s="8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0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</row>
    <row r="21" ht="30" customHeight="1">
      <c r="B21" s="367"/>
      <c r="C21" s="184" t="s">
        <v>200</v>
      </c>
      <c r="D21" s="228" t="s">
        <v>201</v>
      </c>
      <c r="E21" s="19"/>
      <c r="F21" s="46"/>
      <c r="G21" s="50"/>
      <c r="H21" s="50"/>
      <c r="I21" s="50"/>
      <c r="J21" s="50"/>
      <c r="K21" s="50"/>
      <c r="L21" s="50"/>
      <c r="M21" s="57"/>
      <c r="N21" s="39"/>
      <c r="O21" s="39"/>
      <c r="P21" s="39"/>
      <c r="Q21" s="39"/>
      <c r="R21" s="51"/>
      <c r="S21" s="86"/>
      <c r="T21" s="86"/>
      <c r="U21" s="70"/>
      <c r="V21" s="86"/>
      <c r="W21" s="86"/>
      <c r="X21" s="50"/>
      <c r="Y21" s="50"/>
      <c r="Z21" s="50"/>
      <c r="AA21" s="207"/>
      <c r="AB21" s="207"/>
      <c r="AC21" s="50"/>
      <c r="AD21" s="50"/>
      <c r="AE21" s="50"/>
      <c r="AF21" s="50"/>
      <c r="AG21" s="50"/>
      <c r="AH21" s="50"/>
      <c r="AI21" s="50"/>
      <c r="AJ21" s="50"/>
      <c r="AK21" s="50"/>
      <c r="AL21" s="203"/>
      <c r="AM21" s="57"/>
      <c r="AN21" s="50"/>
      <c r="AO21" s="50"/>
      <c r="AP21" s="50"/>
      <c r="AQ21" s="50"/>
      <c r="AR21" s="50"/>
      <c r="AS21" s="50"/>
      <c r="AT21" s="50"/>
      <c r="AU21" s="50"/>
      <c r="AV21" s="206"/>
      <c r="AW21" s="50"/>
      <c r="AX21" s="50"/>
      <c r="AY21" s="50"/>
      <c r="AZ21" s="50"/>
      <c r="BA21" s="89"/>
      <c r="BB21" s="89"/>
      <c r="BC21" s="89"/>
      <c r="BD21" s="8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0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</row>
    <row r="22" ht="30" customHeight="1">
      <c r="B22" s="368"/>
      <c r="C22" s="210" t="s">
        <v>202</v>
      </c>
      <c r="D22" s="46" t="s">
        <v>203</v>
      </c>
      <c r="E22" s="19"/>
      <c r="F22" s="46"/>
      <c r="G22" s="50"/>
      <c r="H22" s="50"/>
      <c r="I22" s="50"/>
      <c r="J22" s="50"/>
      <c r="K22" s="50"/>
      <c r="L22" s="50"/>
      <c r="M22" s="57"/>
      <c r="N22" s="46"/>
      <c r="O22" s="46"/>
      <c r="P22" s="50"/>
      <c r="Q22" s="50"/>
      <c r="R22" s="53"/>
      <c r="S22" s="86"/>
      <c r="T22" s="86"/>
      <c r="U22" s="70"/>
      <c r="V22" s="86"/>
      <c r="W22" s="86"/>
      <c r="X22" s="86"/>
      <c r="Y22" s="86"/>
      <c r="Z22" s="86"/>
      <c r="AA22" s="50"/>
      <c r="AB22" s="207"/>
      <c r="AC22" s="207"/>
      <c r="AD22" s="207"/>
      <c r="AE22" s="50"/>
      <c r="AF22" s="50"/>
      <c r="AG22" s="50"/>
      <c r="AH22" s="50"/>
      <c r="AI22" s="50"/>
      <c r="AJ22" s="50"/>
      <c r="AK22" s="50"/>
      <c r="AL22" s="50"/>
      <c r="AM22" s="80"/>
      <c r="AN22" s="86"/>
      <c r="AO22" s="86"/>
      <c r="AP22" s="86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89"/>
      <c r="BB22" s="89"/>
      <c r="BC22" s="89"/>
      <c r="BD22" s="8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0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</row>
    <row r="23" ht="30" customHeight="1">
      <c r="B23" s="232"/>
      <c r="C23" s="211" t="s">
        <v>204</v>
      </c>
      <c r="D23" s="46" t="s">
        <v>205</v>
      </c>
      <c r="E23" s="19"/>
      <c r="F23" s="46"/>
      <c r="G23" s="50"/>
      <c r="H23" s="50"/>
      <c r="I23" s="50"/>
      <c r="J23" s="50"/>
      <c r="K23" s="50"/>
      <c r="L23" s="50"/>
      <c r="M23" s="57"/>
      <c r="N23" s="46"/>
      <c r="O23" s="46"/>
      <c r="P23" s="50"/>
      <c r="Q23" s="50"/>
      <c r="R23" s="53"/>
      <c r="S23" s="86"/>
      <c r="T23" s="86"/>
      <c r="U23" s="70"/>
      <c r="V23" s="86"/>
      <c r="W23" s="86"/>
      <c r="X23" s="80"/>
      <c r="Y23" s="86"/>
      <c r="Z23" s="86"/>
      <c r="AA23" s="70"/>
      <c r="AB23" s="207"/>
      <c r="AC23" s="185"/>
      <c r="AD23" s="185"/>
      <c r="AE23" s="185"/>
      <c r="AF23" s="185"/>
      <c r="AG23" s="185"/>
      <c r="AH23" s="185"/>
      <c r="AI23" s="185"/>
      <c r="AJ23" s="185"/>
      <c r="AK23" s="86"/>
      <c r="AL23" s="86"/>
      <c r="AM23" s="50"/>
      <c r="AN23" s="50"/>
      <c r="AO23" s="50"/>
      <c r="AP23" s="203"/>
      <c r="AQ23" s="86"/>
      <c r="AR23" s="198"/>
      <c r="AS23" s="86"/>
      <c r="AT23" s="86"/>
      <c r="AU23" s="86"/>
      <c r="AV23" s="206"/>
      <c r="AW23" s="86"/>
      <c r="AX23" s="86"/>
      <c r="AY23" s="86"/>
      <c r="AZ23" s="86"/>
      <c r="BA23" s="91"/>
      <c r="BB23" s="91"/>
      <c r="BC23" s="91"/>
      <c r="BD23" s="91"/>
      <c r="BE23" s="98"/>
      <c r="BF23" s="98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0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</row>
    <row r="24" ht="49.5" customHeight="1">
      <c r="B24" s="232"/>
      <c r="C24" s="204" t="s">
        <v>206</v>
      </c>
      <c r="D24" s="46" t="s">
        <v>207</v>
      </c>
      <c r="E24" s="19"/>
      <c r="F24" s="46"/>
      <c r="G24" s="50"/>
      <c r="H24" s="50"/>
      <c r="I24" s="50"/>
      <c r="J24" s="50"/>
      <c r="K24" s="50"/>
      <c r="L24" s="50"/>
      <c r="M24" s="57"/>
      <c r="N24" s="46"/>
      <c r="O24" s="46"/>
      <c r="P24" s="50"/>
      <c r="Q24" s="50"/>
      <c r="R24" s="50"/>
      <c r="S24" s="50"/>
      <c r="T24" s="50"/>
      <c r="U24" s="50"/>
      <c r="V24" s="50"/>
      <c r="W24" s="50"/>
      <c r="X24" s="57"/>
      <c r="Y24" s="50"/>
      <c r="Z24" s="50"/>
      <c r="AA24" s="70"/>
      <c r="AB24" s="207"/>
      <c r="AC24" s="207"/>
      <c r="AD24" s="207"/>
      <c r="AE24" s="207"/>
      <c r="AF24" s="207"/>
      <c r="AG24" s="207"/>
      <c r="AH24" s="207"/>
      <c r="AI24" s="207"/>
      <c r="AJ24" s="207"/>
      <c r="AK24" s="86"/>
      <c r="AL24" s="86"/>
      <c r="AM24" s="50"/>
      <c r="AN24" s="50"/>
      <c r="AO24" s="50"/>
      <c r="AP24" s="50"/>
      <c r="AQ24" s="86"/>
      <c r="AR24" s="86"/>
      <c r="AS24" s="86"/>
      <c r="AT24" s="86"/>
      <c r="AU24" s="86"/>
      <c r="AV24" s="86"/>
      <c r="AW24" s="86"/>
      <c r="AX24" s="203"/>
      <c r="AY24" s="203"/>
      <c r="AZ24" s="203"/>
      <c r="BA24" s="203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0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</row>
    <row r="25" ht="35.25" customHeight="1">
      <c r="A25" s="225"/>
      <c r="B25" s="232"/>
      <c r="C25" s="193" t="s">
        <v>208</v>
      </c>
      <c r="D25" s="200" t="s">
        <v>209</v>
      </c>
      <c r="E25" s="9"/>
      <c r="F25" s="50"/>
      <c r="G25" s="50"/>
      <c r="H25" s="50"/>
      <c r="I25" s="50"/>
      <c r="J25" s="50"/>
      <c r="K25" s="50"/>
      <c r="L25" s="50"/>
      <c r="M25" s="86"/>
      <c r="N25" s="86"/>
      <c r="O25" s="86"/>
      <c r="P25" s="80"/>
      <c r="Q25" s="86"/>
      <c r="R25" s="86"/>
      <c r="S25" s="86"/>
      <c r="T25" s="86"/>
      <c r="U25" s="70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50"/>
      <c r="AG25" s="50"/>
      <c r="AH25" s="50"/>
      <c r="AI25" s="50"/>
      <c r="AJ25" s="50"/>
      <c r="AK25" s="50"/>
      <c r="AL25" s="50"/>
      <c r="AM25" s="57"/>
      <c r="AN25" s="50"/>
      <c r="AO25" s="50"/>
      <c r="AP25" s="50"/>
      <c r="AQ25" s="50"/>
      <c r="AR25" s="50"/>
      <c r="AS25" s="203"/>
      <c r="AT25" s="203"/>
      <c r="AU25" s="203"/>
      <c r="AV25" s="203"/>
      <c r="AW25" s="203"/>
      <c r="AX25" s="227"/>
      <c r="AY25" s="227"/>
      <c r="AZ25" s="227"/>
      <c r="BA25" s="227"/>
      <c r="BB25" s="227"/>
      <c r="BC25" s="227"/>
      <c r="BD25" s="227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0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5"/>
    </row>
    <row r="26" ht="35.25" customHeight="1">
      <c r="B26" s="232"/>
      <c r="C26" s="194" t="s">
        <v>211</v>
      </c>
      <c r="D26" s="200" t="s">
        <v>184</v>
      </c>
      <c r="E26" s="9"/>
      <c r="F26" s="50"/>
      <c r="G26" s="50"/>
      <c r="H26" s="50"/>
      <c r="I26" s="50"/>
      <c r="J26" s="50"/>
      <c r="K26" s="50"/>
      <c r="L26" s="50"/>
      <c r="M26" s="86"/>
      <c r="N26" s="86"/>
      <c r="O26" s="86"/>
      <c r="P26" s="80"/>
      <c r="Q26" s="86"/>
      <c r="R26" s="86"/>
      <c r="S26" s="86"/>
      <c r="T26" s="86"/>
      <c r="U26" s="70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50"/>
      <c r="AG26" s="50"/>
      <c r="AH26" s="50"/>
      <c r="AI26" s="50"/>
      <c r="AJ26" s="50"/>
      <c r="AK26" s="50"/>
      <c r="AL26" s="50"/>
      <c r="AM26" s="57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89"/>
      <c r="BB26" s="89"/>
      <c r="BC26" s="89"/>
      <c r="BD26" s="8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0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5"/>
    </row>
    <row r="27" ht="35.25" customHeight="1">
      <c r="B27" s="232"/>
      <c r="C27" s="194" t="s">
        <v>212</v>
      </c>
      <c r="D27" s="200" t="s">
        <v>184</v>
      </c>
      <c r="E27" s="9"/>
      <c r="F27" s="50"/>
      <c r="G27" s="50"/>
      <c r="H27" s="50"/>
      <c r="I27" s="50"/>
      <c r="J27" s="50"/>
      <c r="K27" s="50"/>
      <c r="L27" s="50"/>
      <c r="M27" s="86"/>
      <c r="N27" s="86"/>
      <c r="O27" s="86"/>
      <c r="P27" s="80"/>
      <c r="Q27" s="86"/>
      <c r="R27" s="86"/>
      <c r="S27" s="86"/>
      <c r="T27" s="86"/>
      <c r="U27" s="70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50"/>
      <c r="AG27" s="50"/>
      <c r="AH27" s="50"/>
      <c r="AI27" s="50"/>
      <c r="AJ27" s="50"/>
      <c r="AK27" s="50"/>
      <c r="AL27" s="50"/>
      <c r="AM27" s="57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89"/>
      <c r="BB27" s="89"/>
      <c r="BC27" s="89"/>
      <c r="BD27" s="8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0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5"/>
    </row>
    <row r="28" ht="35.25" customHeight="1">
      <c r="B28" s="232"/>
      <c r="C28" s="194" t="s">
        <v>213</v>
      </c>
      <c r="D28" s="200" t="s">
        <v>184</v>
      </c>
      <c r="E28" s="9"/>
      <c r="F28" s="50"/>
      <c r="G28" s="50"/>
      <c r="H28" s="50"/>
      <c r="I28" s="50"/>
      <c r="J28" s="50"/>
      <c r="K28" s="50"/>
      <c r="L28" s="50"/>
      <c r="M28" s="86"/>
      <c r="N28" s="86"/>
      <c r="O28" s="86"/>
      <c r="P28" s="80"/>
      <c r="Q28" s="86"/>
      <c r="R28" s="86"/>
      <c r="S28" s="86"/>
      <c r="T28" s="86"/>
      <c r="U28" s="70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50"/>
      <c r="AG28" s="50"/>
      <c r="AH28" s="50"/>
      <c r="AI28" s="50"/>
      <c r="AJ28" s="50"/>
      <c r="AK28" s="50"/>
      <c r="AL28" s="50"/>
      <c r="AM28" s="57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89"/>
      <c r="BB28" s="89"/>
      <c r="BC28" s="89"/>
      <c r="BD28" s="8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0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5"/>
    </row>
    <row r="29" ht="35.25" customHeight="1">
      <c r="B29" s="232"/>
      <c r="C29" s="194" t="s">
        <v>214</v>
      </c>
      <c r="D29" s="200" t="s">
        <v>184</v>
      </c>
      <c r="E29" s="9"/>
      <c r="F29" s="50"/>
      <c r="G29" s="50"/>
      <c r="H29" s="50"/>
      <c r="I29" s="50"/>
      <c r="J29" s="50"/>
      <c r="K29" s="50"/>
      <c r="L29" s="50"/>
      <c r="M29" s="86"/>
      <c r="N29" s="86"/>
      <c r="O29" s="86"/>
      <c r="P29" s="80"/>
      <c r="Q29" s="86"/>
      <c r="R29" s="86"/>
      <c r="S29" s="86"/>
      <c r="T29" s="86"/>
      <c r="U29" s="70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50"/>
      <c r="AG29" s="50"/>
      <c r="AH29" s="50"/>
      <c r="AI29" s="50"/>
      <c r="AJ29" s="50"/>
      <c r="AK29" s="50"/>
      <c r="AL29" s="50"/>
      <c r="AM29" s="57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89"/>
      <c r="BB29" s="89"/>
      <c r="BC29" s="89"/>
      <c r="BD29" s="8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0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5"/>
    </row>
    <row r="30" ht="33" customHeight="1">
      <c r="B30" s="232"/>
      <c r="C30" s="194" t="s">
        <v>215</v>
      </c>
      <c r="D30" s="200" t="s">
        <v>184</v>
      </c>
      <c r="E30" s="9"/>
      <c r="F30" s="50"/>
      <c r="G30" s="50"/>
      <c r="H30" s="50"/>
      <c r="I30" s="50"/>
      <c r="J30" s="50"/>
      <c r="K30" s="50"/>
      <c r="L30" s="50"/>
      <c r="M30" s="86"/>
      <c r="N30" s="86"/>
      <c r="O30" s="86"/>
      <c r="P30" s="80"/>
      <c r="Q30" s="86"/>
      <c r="R30" s="86"/>
      <c r="S30" s="86"/>
      <c r="T30" s="86"/>
      <c r="U30" s="70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50"/>
      <c r="AG30" s="50"/>
      <c r="AH30" s="50"/>
      <c r="AI30" s="50"/>
      <c r="AJ30" s="50"/>
      <c r="AK30" s="50"/>
      <c r="AL30" s="50"/>
      <c r="AM30" s="57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89"/>
      <c r="BB30" s="89"/>
      <c r="BC30" s="89"/>
      <c r="BD30" s="8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0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5"/>
    </row>
    <row r="31" ht="66" customHeight="1">
      <c r="B31" s="232"/>
      <c r="C31" s="194" t="s">
        <v>216</v>
      </c>
      <c r="D31" s="200" t="s">
        <v>184</v>
      </c>
      <c r="E31" s="9"/>
      <c r="F31" s="50"/>
      <c r="G31" s="50"/>
      <c r="H31" s="50"/>
      <c r="I31" s="50"/>
      <c r="J31" s="50"/>
      <c r="K31" s="50"/>
      <c r="L31" s="50"/>
      <c r="M31" s="86"/>
      <c r="N31" s="86"/>
      <c r="O31" s="86"/>
      <c r="P31" s="80"/>
      <c r="Q31" s="86"/>
      <c r="R31" s="86"/>
      <c r="S31" s="86"/>
      <c r="T31" s="86"/>
      <c r="U31" s="70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50"/>
      <c r="AG31" s="50"/>
      <c r="AH31" s="50"/>
      <c r="AI31" s="50"/>
      <c r="AJ31" s="50"/>
      <c r="AK31" s="50"/>
      <c r="AL31" s="50"/>
      <c r="AM31" s="57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89"/>
      <c r="BB31" s="89"/>
      <c r="BC31" s="89"/>
      <c r="BD31" s="8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0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5"/>
    </row>
    <row r="32" ht="16.5" customHeight="1">
      <c r="B32" s="232"/>
      <c r="C32" s="194" t="s">
        <v>217</v>
      </c>
      <c r="D32" s="200" t="s">
        <v>184</v>
      </c>
      <c r="E32" s="9"/>
      <c r="F32" s="50"/>
      <c r="G32" s="50"/>
      <c r="H32" s="50"/>
      <c r="I32" s="50"/>
      <c r="J32" s="50"/>
      <c r="K32" s="50"/>
      <c r="L32" s="50"/>
      <c r="M32" s="86"/>
      <c r="N32" s="86"/>
      <c r="O32" s="86"/>
      <c r="P32" s="80"/>
      <c r="Q32" s="86"/>
      <c r="R32" s="86"/>
      <c r="S32" s="86"/>
      <c r="T32" s="86"/>
      <c r="U32" s="70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50"/>
      <c r="AG32" s="50"/>
      <c r="AH32" s="50"/>
      <c r="AI32" s="50"/>
      <c r="AJ32" s="50"/>
      <c r="AK32" s="50"/>
      <c r="AL32" s="50"/>
      <c r="AM32" s="57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89"/>
      <c r="BB32" s="89"/>
      <c r="BC32" s="89"/>
      <c r="BD32" s="8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0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5"/>
    </row>
    <row r="33" ht="35.25" customHeight="1">
      <c r="B33" s="232"/>
      <c r="C33" s="212" t="s">
        <v>218</v>
      </c>
      <c r="D33" s="200" t="s">
        <v>219</v>
      </c>
      <c r="E33" s="9"/>
      <c r="F33" s="50"/>
      <c r="G33" s="50"/>
      <c r="H33" s="50"/>
      <c r="I33" s="50"/>
      <c r="J33" s="50"/>
      <c r="K33" s="50"/>
      <c r="L33" s="50"/>
      <c r="M33" s="86"/>
      <c r="N33" s="86"/>
      <c r="O33" s="86"/>
      <c r="P33" s="80"/>
      <c r="Q33" s="86"/>
      <c r="R33" s="86"/>
      <c r="S33" s="86"/>
      <c r="T33" s="86"/>
      <c r="U33" s="70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50"/>
      <c r="AG33" s="50"/>
      <c r="AH33" s="50"/>
      <c r="AI33" s="50"/>
      <c r="AJ33" s="50"/>
      <c r="AK33" s="50"/>
      <c r="AL33" s="50"/>
      <c r="AM33" s="57"/>
      <c r="AN33" s="50"/>
      <c r="AO33" s="50"/>
      <c r="AP33" s="50"/>
      <c r="AQ33" s="50"/>
      <c r="AR33" s="50"/>
      <c r="AS33" s="50"/>
      <c r="AT33" s="50"/>
      <c r="AU33" s="203"/>
      <c r="AV33" s="203"/>
      <c r="AW33" s="203"/>
      <c r="AX33" s="203"/>
      <c r="AY33" s="203"/>
      <c r="AZ33" s="203"/>
      <c r="BA33" s="203"/>
      <c r="BB33" s="203"/>
      <c r="BC33" s="89"/>
      <c r="BD33" s="8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0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5"/>
    </row>
    <row r="34" ht="35.25" customHeight="1">
      <c r="B34" s="232"/>
      <c r="C34" s="194" t="s">
        <v>220</v>
      </c>
      <c r="D34" s="200" t="s">
        <v>219</v>
      </c>
      <c r="E34" s="9"/>
      <c r="F34" s="50"/>
      <c r="G34" s="50"/>
      <c r="H34" s="50"/>
      <c r="I34" s="50"/>
      <c r="J34" s="50"/>
      <c r="K34" s="50"/>
      <c r="L34" s="50"/>
      <c r="M34" s="86"/>
      <c r="N34" s="86"/>
      <c r="O34" s="86"/>
      <c r="P34" s="80"/>
      <c r="Q34" s="86"/>
      <c r="R34" s="86"/>
      <c r="S34" s="86"/>
      <c r="T34" s="86"/>
      <c r="U34" s="70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50"/>
      <c r="AG34" s="50"/>
      <c r="AH34" s="50"/>
      <c r="AI34" s="50"/>
      <c r="AJ34" s="50"/>
      <c r="AK34" s="50"/>
      <c r="AL34" s="50"/>
      <c r="AM34" s="57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203"/>
      <c r="BB34" s="203"/>
      <c r="BC34" s="203"/>
      <c r="BD34" s="203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0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5"/>
    </row>
    <row r="35" ht="35.25" customHeight="1">
      <c r="B35" s="232"/>
      <c r="C35" s="194" t="s">
        <v>221</v>
      </c>
      <c r="D35" s="200" t="s">
        <v>219</v>
      </c>
      <c r="E35" s="9"/>
      <c r="F35" s="50"/>
      <c r="G35" s="50"/>
      <c r="H35" s="50"/>
      <c r="I35" s="50"/>
      <c r="J35" s="50"/>
      <c r="K35" s="50"/>
      <c r="L35" s="50"/>
      <c r="M35" s="86"/>
      <c r="N35" s="86"/>
      <c r="O35" s="86"/>
      <c r="P35" s="80"/>
      <c r="Q35" s="86"/>
      <c r="R35" s="86"/>
      <c r="S35" s="86"/>
      <c r="T35" s="86"/>
      <c r="U35" s="70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50"/>
      <c r="AG35" s="50"/>
      <c r="AH35" s="50"/>
      <c r="AI35" s="50"/>
      <c r="AJ35" s="50"/>
      <c r="AK35" s="50"/>
      <c r="AL35" s="50"/>
      <c r="AM35" s="57"/>
      <c r="AN35" s="203"/>
      <c r="AO35" s="203"/>
      <c r="AP35" s="203"/>
      <c r="AQ35" s="203"/>
      <c r="AR35" s="50"/>
      <c r="AS35" s="50"/>
      <c r="AT35" s="50"/>
      <c r="AU35" s="50"/>
      <c r="AV35" s="50"/>
      <c r="AW35" s="50"/>
      <c r="AX35" s="50"/>
      <c r="AY35" s="50"/>
      <c r="AZ35" s="50"/>
      <c r="BA35" s="89"/>
      <c r="BB35" s="89"/>
      <c r="BC35" s="89"/>
      <c r="BD35" s="8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0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5"/>
    </row>
    <row r="36" ht="49.5" customHeight="1">
      <c r="B36" s="365" t="s">
        <v>222</v>
      </c>
      <c r="C36" s="211" t="s">
        <v>223</v>
      </c>
      <c r="D36" s="228" t="s">
        <v>224</v>
      </c>
      <c r="E36" s="19"/>
      <c r="F36" s="46"/>
      <c r="G36" s="50"/>
      <c r="H36" s="50"/>
      <c r="I36" s="50"/>
      <c r="J36" s="50"/>
      <c r="K36" s="50"/>
      <c r="L36" s="50"/>
      <c r="M36" s="57"/>
      <c r="N36" s="50"/>
      <c r="O36" s="46"/>
      <c r="P36" s="46"/>
      <c r="Q36" s="46"/>
      <c r="R36" s="50"/>
      <c r="S36" s="50"/>
      <c r="T36" s="50"/>
      <c r="U36" s="50"/>
      <c r="V36" s="50"/>
      <c r="W36" s="50"/>
      <c r="X36" s="50"/>
      <c r="Y36" s="185"/>
      <c r="Z36" s="86"/>
      <c r="AA36" s="50"/>
      <c r="AB36" s="50"/>
      <c r="AC36" s="50"/>
      <c r="AD36" s="50"/>
      <c r="AE36" s="50"/>
      <c r="AF36" s="207"/>
      <c r="AG36" s="207"/>
      <c r="AH36" s="207"/>
      <c r="AI36" s="207"/>
      <c r="AJ36" s="50"/>
      <c r="AK36" s="50"/>
      <c r="AL36" s="50"/>
      <c r="AM36" s="50"/>
      <c r="AN36" s="50"/>
      <c r="AO36" s="50"/>
      <c r="AP36" s="50"/>
      <c r="AQ36" s="203"/>
      <c r="AR36" s="203"/>
      <c r="AS36" s="203"/>
      <c r="AT36" s="198"/>
      <c r="AU36" s="50"/>
      <c r="AV36" s="206"/>
      <c r="AW36" s="50"/>
      <c r="AX36" s="50"/>
      <c r="AY36" s="50"/>
      <c r="AZ36" s="50"/>
      <c r="BA36" s="50"/>
      <c r="BB36" s="50"/>
      <c r="BC36" s="50"/>
      <c r="BD36" s="89"/>
      <c r="BE36" s="89"/>
      <c r="BF36" s="89"/>
      <c r="BG36" s="8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0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</row>
    <row r="37" ht="27" customHeight="1">
      <c r="B37" s="366"/>
      <c r="C37" s="228" t="s">
        <v>225</v>
      </c>
      <c r="D37" s="228" t="s">
        <v>224</v>
      </c>
      <c r="E37" s="19"/>
      <c r="F37" s="46"/>
      <c r="G37" s="50"/>
      <c r="H37" s="50"/>
      <c r="I37" s="50"/>
      <c r="J37" s="50"/>
      <c r="K37" s="50"/>
      <c r="L37" s="50"/>
      <c r="M37" s="57"/>
      <c r="N37" s="50"/>
      <c r="O37" s="46"/>
      <c r="P37" s="46"/>
      <c r="Q37" s="46"/>
      <c r="R37" s="50"/>
      <c r="S37" s="50"/>
      <c r="T37" s="50"/>
      <c r="U37" s="50"/>
      <c r="V37" s="50"/>
      <c r="W37" s="50"/>
      <c r="X37" s="50"/>
      <c r="Y37" s="185"/>
      <c r="Z37" s="86"/>
      <c r="AA37" s="50"/>
      <c r="AB37" s="50"/>
      <c r="AC37" s="50"/>
      <c r="AD37" s="50"/>
      <c r="AE37" s="50"/>
      <c r="AF37" s="46"/>
      <c r="AG37" s="46"/>
      <c r="AH37" s="46"/>
      <c r="AI37" s="50"/>
      <c r="AJ37" s="207"/>
      <c r="AK37" s="207"/>
      <c r="AL37" s="50"/>
      <c r="AM37" s="50"/>
      <c r="AN37" s="50"/>
      <c r="AO37" s="50"/>
      <c r="AP37" s="50"/>
      <c r="AQ37" s="50"/>
      <c r="AR37" s="50"/>
      <c r="AS37" s="50"/>
      <c r="AT37" s="50"/>
      <c r="AU37" s="203"/>
      <c r="AV37" s="203"/>
      <c r="AW37" s="50"/>
      <c r="AX37" s="50"/>
      <c r="AY37" s="50"/>
      <c r="AZ37" s="50"/>
      <c r="BA37" s="50"/>
      <c r="BB37" s="50"/>
      <c r="BC37" s="50"/>
      <c r="BD37" s="89"/>
      <c r="BE37" s="89"/>
      <c r="BF37" s="89"/>
      <c r="BG37" s="8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0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</row>
    <row r="38" ht="27" customHeight="1">
      <c r="B38" s="366"/>
      <c r="C38" s="211" t="s">
        <v>226</v>
      </c>
      <c r="D38" s="228" t="s">
        <v>224</v>
      </c>
      <c r="E38" s="19"/>
      <c r="F38" s="46"/>
      <c r="G38" s="50"/>
      <c r="H38" s="50"/>
      <c r="I38" s="50"/>
      <c r="J38" s="50"/>
      <c r="K38" s="50"/>
      <c r="L38" s="50"/>
      <c r="M38" s="57"/>
      <c r="N38" s="50"/>
      <c r="O38" s="46"/>
      <c r="P38" s="46"/>
      <c r="Q38" s="46"/>
      <c r="R38" s="50"/>
      <c r="S38" s="50"/>
      <c r="T38" s="50"/>
      <c r="U38" s="50"/>
      <c r="V38" s="50"/>
      <c r="W38" s="50"/>
      <c r="X38" s="50"/>
      <c r="Y38" s="185"/>
      <c r="Z38" s="86"/>
      <c r="AA38" s="50"/>
      <c r="AB38" s="50"/>
      <c r="AC38" s="50"/>
      <c r="AD38" s="50"/>
      <c r="AE38" s="50"/>
      <c r="AF38" s="46"/>
      <c r="AG38" s="46"/>
      <c r="AH38" s="46"/>
      <c r="AI38" s="50"/>
      <c r="AJ38" s="50"/>
      <c r="AK38" s="50"/>
      <c r="AL38" s="207"/>
      <c r="AM38" s="207"/>
      <c r="AN38" s="50"/>
      <c r="AO38" s="50"/>
      <c r="AP38" s="50"/>
      <c r="AQ38" s="50"/>
      <c r="AR38" s="50"/>
      <c r="AS38" s="50"/>
      <c r="AT38" s="50"/>
      <c r="AU38" s="203"/>
      <c r="AV38" s="50"/>
      <c r="AW38" s="50"/>
      <c r="AX38" s="50"/>
      <c r="AY38" s="50"/>
      <c r="AZ38" s="50"/>
      <c r="BA38" s="50"/>
      <c r="BB38" s="50"/>
      <c r="BC38" s="50"/>
      <c r="BD38" s="89"/>
      <c r="BE38" s="89"/>
      <c r="BF38" s="89"/>
      <c r="BG38" s="8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0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</row>
    <row r="39" ht="66" customHeight="1">
      <c r="B39" s="366"/>
      <c r="C39" s="228" t="s">
        <v>227</v>
      </c>
      <c r="D39" s="228" t="s">
        <v>224</v>
      </c>
      <c r="E39" s="19"/>
      <c r="F39" s="46"/>
      <c r="G39" s="50"/>
      <c r="H39" s="50"/>
      <c r="I39" s="50"/>
      <c r="J39" s="50"/>
      <c r="K39" s="50"/>
      <c r="L39" s="50"/>
      <c r="M39" s="57"/>
      <c r="N39" s="50"/>
      <c r="O39" s="46"/>
      <c r="P39" s="46"/>
      <c r="Q39" s="46"/>
      <c r="R39" s="50"/>
      <c r="S39" s="46"/>
      <c r="T39" s="46"/>
      <c r="U39" s="46"/>
      <c r="V39" s="46"/>
      <c r="W39" s="46"/>
      <c r="X39" s="46"/>
      <c r="Y39" s="46"/>
      <c r="Z39" s="46"/>
      <c r="AA39" s="100"/>
      <c r="AB39" s="100"/>
      <c r="AC39" s="100"/>
      <c r="AD39" s="100"/>
      <c r="AE39" s="100"/>
      <c r="AF39" s="100"/>
      <c r="AG39" s="100"/>
      <c r="AH39" s="100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3"/>
      <c r="AV39" s="203"/>
      <c r="AW39" s="198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3"/>
      <c r="BQ39" s="203"/>
      <c r="BR39" s="50"/>
      <c r="BS39" s="50"/>
      <c r="BT39" s="89"/>
      <c r="BU39" s="89"/>
      <c r="BV39" s="89"/>
      <c r="BW39" s="89"/>
      <c r="BX39" s="10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</row>
    <row r="40" ht="30.599999999999998" customHeight="1">
      <c r="B40" s="366"/>
      <c r="C40" s="228" t="s">
        <v>228</v>
      </c>
      <c r="D40" s="204" t="s">
        <v>229</v>
      </c>
      <c r="E40" s="19"/>
      <c r="F40" s="46"/>
      <c r="G40" s="46"/>
      <c r="H40" s="46"/>
      <c r="I40" s="46"/>
      <c r="J40" s="46"/>
      <c r="K40" s="46"/>
      <c r="L40" s="46"/>
      <c r="M40" s="111"/>
      <c r="N40" s="46"/>
      <c r="O40" s="46"/>
      <c r="P40" s="46"/>
      <c r="Q40" s="46"/>
      <c r="R40" s="50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50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50"/>
      <c r="BP40" s="50"/>
      <c r="BQ40" s="50"/>
      <c r="BR40" s="50"/>
      <c r="BS40" s="50"/>
      <c r="BT40" s="89"/>
      <c r="BU40" s="89"/>
      <c r="BV40" s="89"/>
      <c r="BW40" s="89"/>
      <c r="BX40" s="10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</row>
    <row r="41" ht="33" customHeight="1">
      <c r="B41" s="366"/>
      <c r="C41" s="228" t="s">
        <v>230</v>
      </c>
      <c r="D41" s="228" t="s">
        <v>224</v>
      </c>
      <c r="E41" s="19"/>
      <c r="F41" s="46"/>
      <c r="G41" s="50"/>
      <c r="H41" s="50"/>
      <c r="I41" s="50"/>
      <c r="J41" s="50"/>
      <c r="K41" s="50"/>
      <c r="L41" s="50"/>
      <c r="M41" s="57"/>
      <c r="N41" s="50"/>
      <c r="O41" s="46"/>
      <c r="P41" s="46"/>
      <c r="Q41" s="46"/>
      <c r="R41" s="50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0"/>
      <c r="AK41" s="50"/>
      <c r="AL41" s="50"/>
      <c r="AM41" s="50"/>
      <c r="AN41" s="9"/>
      <c r="AO41" s="50"/>
      <c r="AP41" s="50"/>
      <c r="AQ41" s="50"/>
      <c r="AR41" s="50"/>
      <c r="AS41" s="50"/>
      <c r="AT41" s="50"/>
      <c r="AU41" s="50"/>
      <c r="AV41" s="50"/>
      <c r="AW41" s="57"/>
      <c r="AX41" s="50"/>
      <c r="AY41" s="207"/>
      <c r="AZ41" s="207"/>
      <c r="BA41" s="207"/>
      <c r="BB41" s="207"/>
      <c r="BC41" s="207"/>
      <c r="BD41" s="207"/>
      <c r="BE41" s="207"/>
      <c r="BF41" s="99"/>
      <c r="BG41" s="50"/>
      <c r="BH41" s="50"/>
      <c r="BI41" s="50"/>
      <c r="BJ41" s="50"/>
      <c r="BK41" s="50"/>
      <c r="BL41" s="50"/>
      <c r="BM41" s="50"/>
      <c r="BN41" s="50"/>
      <c r="BO41" s="203"/>
      <c r="BP41" s="203"/>
      <c r="BQ41" s="203"/>
      <c r="BR41" s="203"/>
      <c r="BS41" s="203"/>
      <c r="BT41" s="203"/>
      <c r="BU41" s="203"/>
      <c r="BV41" s="89"/>
      <c r="BW41" s="89"/>
      <c r="BX41" s="10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</row>
    <row r="42" ht="30.599999999999998" customHeight="1">
      <c r="B42" s="366"/>
      <c r="C42" s="228" t="s">
        <v>231</v>
      </c>
      <c r="D42" s="228" t="s">
        <v>232</v>
      </c>
      <c r="E42" s="19"/>
      <c r="F42" s="46"/>
      <c r="G42" s="50"/>
      <c r="H42" s="50"/>
      <c r="I42" s="50"/>
      <c r="J42" s="50"/>
      <c r="K42" s="50"/>
      <c r="L42" s="50"/>
      <c r="M42" s="57"/>
      <c r="N42" s="50"/>
      <c r="O42" s="46"/>
      <c r="P42" s="46"/>
      <c r="Q42" s="46"/>
      <c r="R42" s="50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0"/>
      <c r="AK42" s="50"/>
      <c r="AL42" s="50"/>
      <c r="AM42" s="50"/>
      <c r="AN42" s="9"/>
      <c r="AO42" s="50"/>
      <c r="AP42" s="50"/>
      <c r="AQ42" s="50"/>
      <c r="AR42" s="50"/>
      <c r="AS42" s="50"/>
      <c r="AT42" s="50"/>
      <c r="AU42" s="50"/>
      <c r="AV42" s="50"/>
      <c r="AW42" s="57"/>
      <c r="AX42" s="50"/>
      <c r="AY42" s="46"/>
      <c r="AZ42" s="46"/>
      <c r="BA42" s="46"/>
      <c r="BB42" s="46"/>
      <c r="BC42" s="46"/>
      <c r="BD42" s="46"/>
      <c r="BE42" s="207"/>
      <c r="BF42" s="207"/>
      <c r="BG42" s="207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89"/>
      <c r="BU42" s="89"/>
      <c r="BV42" s="203"/>
      <c r="BW42" s="203"/>
      <c r="BX42" s="203"/>
      <c r="BY42" s="203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</row>
    <row r="43" ht="82.5" customHeight="1">
      <c r="B43" s="366"/>
      <c r="C43" s="228" t="s">
        <v>233</v>
      </c>
      <c r="D43" s="228" t="s">
        <v>224</v>
      </c>
      <c r="E43" s="19"/>
      <c r="F43" s="46"/>
      <c r="G43" s="50"/>
      <c r="H43" s="50"/>
      <c r="I43" s="50"/>
      <c r="J43" s="50"/>
      <c r="K43" s="50"/>
      <c r="L43" s="50"/>
      <c r="M43" s="57"/>
      <c r="N43" s="50"/>
      <c r="O43" s="46"/>
      <c r="P43" s="46"/>
      <c r="Q43" s="46"/>
      <c r="R43" s="50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0"/>
      <c r="AK43" s="50"/>
      <c r="AL43" s="50"/>
      <c r="AM43" s="50"/>
      <c r="AN43" s="9"/>
      <c r="AO43" s="50"/>
      <c r="AP43" s="50"/>
      <c r="AQ43" s="50"/>
      <c r="AR43" s="50"/>
      <c r="AS43" s="50"/>
      <c r="AT43" s="50"/>
      <c r="AU43" s="203"/>
      <c r="AV43" s="203"/>
      <c r="AW43" s="203"/>
      <c r="AX43" s="203"/>
      <c r="AY43" s="203"/>
      <c r="AZ43" s="203"/>
      <c r="BA43" s="205"/>
      <c r="BB43" s="203"/>
      <c r="BC43" s="203"/>
      <c r="BD43" s="203"/>
      <c r="BE43" s="203"/>
      <c r="BF43" s="203"/>
      <c r="BG43" s="203"/>
      <c r="BH43" s="50"/>
      <c r="BI43" s="50"/>
      <c r="BJ43" s="50"/>
      <c r="BK43" s="50"/>
      <c r="BL43" s="50"/>
      <c r="BM43" s="50"/>
      <c r="BN43" s="50"/>
      <c r="BO43" s="50"/>
      <c r="BP43" s="50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</row>
    <row r="44" ht="33" customHeight="1">
      <c r="B44" s="366"/>
      <c r="C44" s="228" t="s">
        <v>234</v>
      </c>
      <c r="D44" s="228" t="s">
        <v>235</v>
      </c>
      <c r="E44" s="21"/>
      <c r="F44" s="22"/>
      <c r="G44" s="50"/>
      <c r="H44" s="50"/>
      <c r="I44" s="50"/>
      <c r="J44" s="50"/>
      <c r="K44" s="50"/>
      <c r="L44" s="50"/>
      <c r="M44" s="57"/>
      <c r="N44" s="50"/>
      <c r="O44" s="46"/>
      <c r="P44" s="46"/>
      <c r="Q44" s="46"/>
      <c r="R44" s="5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0"/>
      <c r="AK44" s="50"/>
      <c r="AL44" s="50"/>
      <c r="AM44" s="50"/>
      <c r="AN44" s="9"/>
      <c r="AO44" s="50"/>
      <c r="AP44" s="50"/>
      <c r="AQ44" s="50"/>
      <c r="AR44" s="50"/>
      <c r="AS44" s="50"/>
      <c r="AT44" s="50"/>
      <c r="AU44" s="50"/>
      <c r="AV44" s="50"/>
      <c r="AW44" s="50"/>
      <c r="AX44" s="39"/>
      <c r="AY44" s="39"/>
      <c r="AZ44" s="39"/>
      <c r="BA44" s="39"/>
      <c r="BB44" s="39"/>
      <c r="BC44" s="39"/>
      <c r="BD44" s="50"/>
      <c r="BE44" s="50"/>
      <c r="BF44" s="57"/>
      <c r="BG44" s="50"/>
      <c r="BH44" s="50"/>
      <c r="BI44" s="57"/>
      <c r="BJ44" s="46"/>
      <c r="BK44" s="46"/>
      <c r="BL44" s="183"/>
      <c r="BM44" s="50"/>
      <c r="BN44" s="50"/>
      <c r="BO44" s="207"/>
      <c r="BP44" s="207"/>
      <c r="BQ44" s="50"/>
      <c r="BR44" s="50"/>
      <c r="BS44" s="50"/>
      <c r="BT44" s="89"/>
      <c r="BU44" s="89"/>
      <c r="BV44" s="89"/>
      <c r="BW44" s="89"/>
      <c r="BX44" s="109"/>
      <c r="BY44" s="119"/>
      <c r="BZ44" s="119"/>
      <c r="CA44" s="119"/>
      <c r="CB44" s="119"/>
      <c r="CC44" s="119"/>
      <c r="CD44" s="203"/>
      <c r="CE44" s="203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</row>
    <row r="45" ht="30" customHeight="1">
      <c r="B45" s="369"/>
      <c r="C45" s="183" t="s">
        <v>236</v>
      </c>
      <c r="D45" s="228" t="s">
        <v>235</v>
      </c>
      <c r="E45" s="19"/>
      <c r="F45" s="46"/>
      <c r="G45" s="9"/>
      <c r="H45" s="50"/>
      <c r="I45" s="50"/>
      <c r="J45" s="50"/>
      <c r="K45" s="50"/>
      <c r="L45" s="50"/>
      <c r="M45" s="57"/>
      <c r="N45" s="50"/>
      <c r="O45" s="46"/>
      <c r="P45" s="46"/>
      <c r="Q45" s="46"/>
      <c r="R45" s="5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0"/>
      <c r="AK45" s="50"/>
      <c r="AL45" s="50"/>
      <c r="AM45" s="50"/>
      <c r="AN45" s="9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7"/>
      <c r="BG45" s="50"/>
      <c r="BH45" s="50"/>
      <c r="BI45" s="50"/>
      <c r="BJ45" s="50"/>
      <c r="BK45" s="50"/>
      <c r="BL45" s="46"/>
      <c r="BM45" s="46"/>
      <c r="BN45" s="46"/>
      <c r="BO45" s="46"/>
      <c r="BP45" s="46"/>
      <c r="BQ45" s="207"/>
      <c r="BR45" s="207"/>
      <c r="BS45" s="207"/>
      <c r="BT45" s="207"/>
      <c r="BU45" s="207"/>
      <c r="BV45" s="207"/>
      <c r="BW45" s="207"/>
      <c r="BX45" s="207"/>
      <c r="BY45" s="207"/>
      <c r="BZ45" s="207"/>
      <c r="CA45" s="207"/>
      <c r="CB45" s="207"/>
      <c r="CC45" s="119"/>
      <c r="CD45" s="119"/>
      <c r="CE45" s="119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  <c r="CR45" s="119"/>
      <c r="CS45" s="119"/>
      <c r="CT45" s="119"/>
      <c r="CU45" s="119"/>
      <c r="CV45" s="119"/>
      <c r="CW45" s="203"/>
      <c r="CX45" s="203"/>
      <c r="CY45" s="203"/>
      <c r="CZ45" s="119"/>
      <c r="DA45" s="119"/>
      <c r="DB45" s="119"/>
      <c r="DC45" s="119"/>
      <c r="DD45" s="119"/>
      <c r="DE45" s="119"/>
    </row>
    <row r="46" ht="30" customHeight="1">
      <c r="B46" s="370" t="s">
        <v>237</v>
      </c>
      <c r="C46" s="46" t="s">
        <v>238</v>
      </c>
      <c r="D46" s="46" t="s">
        <v>239</v>
      </c>
      <c r="E46" s="19"/>
      <c r="F46" s="46"/>
      <c r="G46" s="50"/>
      <c r="H46" s="50"/>
      <c r="I46" s="50"/>
      <c r="J46" s="50"/>
      <c r="K46" s="50"/>
      <c r="L46" s="50"/>
      <c r="M46" s="50"/>
      <c r="N46" s="39"/>
      <c r="O46" s="39"/>
      <c r="P46" s="207"/>
      <c r="Q46" s="207"/>
      <c r="R46" s="207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0"/>
      <c r="AJ46" s="50"/>
      <c r="AK46" s="50"/>
      <c r="AL46" s="50"/>
      <c r="AM46" s="57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89"/>
      <c r="BB46" s="89"/>
      <c r="BC46" s="89"/>
      <c r="BD46" s="8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0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</row>
    <row r="47" ht="30" customHeight="1">
      <c r="B47" s="367"/>
      <c r="C47" s="228" t="s">
        <v>240</v>
      </c>
      <c r="D47" s="46" t="s">
        <v>239</v>
      </c>
      <c r="E47" s="23"/>
      <c r="F47" s="185"/>
      <c r="G47" s="86"/>
      <c r="H47" s="86"/>
      <c r="I47" s="86"/>
      <c r="J47" s="86"/>
      <c r="K47" s="86"/>
      <c r="L47" s="86"/>
      <c r="M47" s="86"/>
      <c r="N47" s="86"/>
      <c r="O47" s="86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0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119"/>
      <c r="BV47" s="119"/>
      <c r="BW47" s="119"/>
      <c r="BX47" s="10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</row>
    <row r="48" ht="30" customHeight="1">
      <c r="B48" s="367"/>
      <c r="C48" s="46" t="s">
        <v>185</v>
      </c>
      <c r="D48" s="46" t="s">
        <v>239</v>
      </c>
      <c r="E48" s="46"/>
      <c r="F48" s="46"/>
      <c r="G48" s="46"/>
      <c r="H48" s="46"/>
      <c r="I48" s="46"/>
      <c r="J48" s="46"/>
      <c r="K48" s="46"/>
      <c r="L48" s="46"/>
      <c r="M48" s="207"/>
      <c r="N48" s="46"/>
      <c r="O48" s="46"/>
      <c r="P48" s="46"/>
      <c r="Q48" s="46"/>
      <c r="R48" s="46"/>
      <c r="S48" s="207"/>
      <c r="T48" s="207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0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</row>
    <row r="49" ht="30" customHeight="1">
      <c r="B49" s="367"/>
      <c r="C49" s="228" t="s">
        <v>241</v>
      </c>
      <c r="D49" s="46" t="s">
        <v>239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0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</row>
    <row r="50" ht="30" customHeight="1">
      <c r="B50" s="367"/>
      <c r="C50" s="218" t="s">
        <v>242</v>
      </c>
      <c r="D50" s="185" t="s">
        <v>239</v>
      </c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119"/>
      <c r="BV50" s="119"/>
      <c r="BW50" s="119"/>
      <c r="BX50" s="10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</row>
    <row r="51" ht="30" customHeight="1">
      <c r="B51" s="365" t="s">
        <v>243</v>
      </c>
      <c r="C51" s="228" t="s">
        <v>244</v>
      </c>
      <c r="D51" s="46" t="s">
        <v>245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207"/>
      <c r="AK51" s="207"/>
      <c r="AL51" s="207"/>
      <c r="AM51" s="207"/>
      <c r="AN51" s="207"/>
      <c r="AO51" s="207"/>
      <c r="AP51" s="207"/>
      <c r="AQ51" s="207"/>
      <c r="AR51" s="46"/>
      <c r="AS51" s="46"/>
      <c r="AT51" s="46"/>
      <c r="AU51" s="46"/>
      <c r="AV51" s="46"/>
      <c r="AW51" s="46"/>
      <c r="AX51" s="46"/>
      <c r="AY51" s="46"/>
      <c r="AZ51" s="46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0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</row>
    <row r="52" ht="30" customHeight="1">
      <c r="B52" s="366"/>
      <c r="C52" s="46" t="s">
        <v>246</v>
      </c>
      <c r="D52" s="46" t="s">
        <v>247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09"/>
      <c r="BY52" s="119"/>
      <c r="BZ52" s="119"/>
      <c r="CA52" s="119"/>
      <c r="CB52" s="119"/>
      <c r="CC52" s="207"/>
      <c r="CD52" s="207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203"/>
      <c r="CS52" s="203"/>
      <c r="CT52" s="119"/>
      <c r="CU52" s="119"/>
      <c r="CV52" s="119"/>
      <c r="CW52" s="119"/>
      <c r="CX52" s="119"/>
      <c r="CY52" s="119"/>
      <c r="CZ52" s="119"/>
      <c r="DA52" s="119"/>
      <c r="DB52" s="119"/>
      <c r="DC52" s="119"/>
      <c r="DD52" s="119"/>
      <c r="DE52" s="119"/>
    </row>
    <row r="53" ht="49.5" customHeight="1">
      <c r="B53" s="366"/>
      <c r="C53" s="228" t="s">
        <v>248</v>
      </c>
      <c r="D53" s="46" t="s">
        <v>247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07"/>
      <c r="AS53" s="207"/>
      <c r="AT53" s="46"/>
      <c r="AU53" s="46"/>
      <c r="AV53" s="46"/>
      <c r="AW53" s="46"/>
      <c r="AX53" s="46"/>
      <c r="AY53" s="46"/>
      <c r="AZ53" s="46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1"/>
      <c r="BY53" s="46"/>
      <c r="BZ53" s="119"/>
      <c r="CA53" s="119"/>
      <c r="CB53" s="119"/>
      <c r="CC53" s="119"/>
      <c r="CD53" s="119"/>
      <c r="CE53" s="207"/>
      <c r="CF53" s="207"/>
      <c r="CG53" s="207"/>
      <c r="CH53" s="207"/>
      <c r="CI53" s="207"/>
      <c r="CJ53" s="207"/>
      <c r="CK53" s="119"/>
      <c r="CL53" s="119"/>
      <c r="CM53" s="119"/>
      <c r="CN53" s="119"/>
      <c r="CO53" s="119"/>
      <c r="CP53" s="119"/>
      <c r="CQ53" s="119"/>
      <c r="CR53" s="119"/>
      <c r="CS53" s="119"/>
      <c r="CT53" s="203"/>
      <c r="CU53" s="203"/>
      <c r="CV53" s="203"/>
      <c r="CW53" s="203"/>
      <c r="CX53" s="203"/>
      <c r="CY53" s="203"/>
      <c r="CZ53" s="119"/>
      <c r="DA53" s="119"/>
      <c r="DB53" s="119"/>
      <c r="DC53" s="119"/>
      <c r="DD53" s="119"/>
      <c r="DE53" s="119"/>
    </row>
    <row r="54" ht="30" customHeight="1">
      <c r="B54" s="366"/>
      <c r="C54" s="228" t="s">
        <v>249</v>
      </c>
      <c r="D54" s="46" t="s">
        <v>239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09"/>
      <c r="BY54" s="46"/>
      <c r="BZ54" s="119"/>
      <c r="CA54" s="119"/>
      <c r="CB54" s="119"/>
      <c r="CC54" s="119"/>
      <c r="CD54" s="119"/>
      <c r="CE54" s="119"/>
      <c r="CF54" s="46"/>
      <c r="CG54" s="119"/>
      <c r="CH54" s="119"/>
      <c r="CI54" s="119"/>
      <c r="CJ54" s="119"/>
      <c r="CK54" s="207"/>
      <c r="CL54" s="207"/>
      <c r="CM54" s="207"/>
      <c r="CN54" s="119"/>
      <c r="CO54" s="119"/>
      <c r="CP54" s="119"/>
      <c r="CQ54" s="119"/>
      <c r="CR54" s="119"/>
      <c r="CS54" s="119"/>
      <c r="CT54" s="119"/>
      <c r="CU54" s="46"/>
      <c r="CV54" s="119"/>
      <c r="CW54" s="119"/>
      <c r="CX54" s="119"/>
      <c r="CY54" s="119"/>
      <c r="CZ54" s="203"/>
      <c r="DA54" s="203"/>
      <c r="DB54" s="203"/>
      <c r="DC54" s="119"/>
      <c r="DD54" s="119"/>
      <c r="DE54" s="119"/>
    </row>
    <row r="55" ht="30" customHeight="1">
      <c r="B55" s="366"/>
      <c r="C55" s="46" t="s">
        <v>250</v>
      </c>
      <c r="D55" s="46" t="s">
        <v>239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09"/>
      <c r="BY55" s="46"/>
      <c r="BZ55" s="119"/>
      <c r="CA55" s="119"/>
      <c r="CB55" s="119"/>
      <c r="CC55" s="119"/>
      <c r="CD55" s="119"/>
      <c r="CE55" s="119"/>
      <c r="CF55" s="46"/>
      <c r="CG55" s="119"/>
      <c r="CH55" s="119"/>
      <c r="CI55" s="119"/>
      <c r="CJ55" s="119"/>
      <c r="CK55" s="119"/>
      <c r="CL55" s="119"/>
      <c r="CM55" s="119"/>
      <c r="CN55" s="207"/>
      <c r="CO55" s="119"/>
      <c r="CP55" s="119"/>
      <c r="CQ55" s="119"/>
      <c r="CR55" s="119"/>
      <c r="CS55" s="119"/>
      <c r="CT55" s="119"/>
      <c r="CU55" s="46"/>
      <c r="CV55" s="119"/>
      <c r="CW55" s="119"/>
      <c r="CX55" s="119"/>
      <c r="CY55" s="119"/>
      <c r="CZ55" s="119"/>
      <c r="DA55" s="119"/>
      <c r="DB55" s="119"/>
      <c r="DC55" s="203"/>
      <c r="DD55" s="119"/>
      <c r="DE55" s="119"/>
    </row>
  </sheetData>
  <mergeCells count="33">
    <mergeCell ref="AK2:AN2"/>
    <mergeCell ref="BE2:BH2"/>
    <mergeCell ref="BY2:CB2"/>
    <mergeCell ref="BU2:BX2"/>
    <mergeCell ref="C1:BT1"/>
    <mergeCell ref="BM2:BP2"/>
    <mergeCell ref="I2:L2"/>
    <mergeCell ref="B36:B45"/>
    <mergeCell ref="CS2:CV2"/>
    <mergeCell ref="B51:B55"/>
    <mergeCell ref="B4:B22"/>
    <mergeCell ref="CK2:CN2"/>
    <mergeCell ref="B3:C3"/>
    <mergeCell ref="AO2:AR2"/>
    <mergeCell ref="AC2:AF2"/>
    <mergeCell ref="CC2:CF2"/>
    <mergeCell ref="Q2:T2"/>
    <mergeCell ref="U2:X2"/>
    <mergeCell ref="E2:H2"/>
    <mergeCell ref="BI2:BL2"/>
    <mergeCell ref="DA2:DD2"/>
    <mergeCell ref="CG2:CJ2"/>
    <mergeCell ref="BA2:BD2"/>
    <mergeCell ref="B2:C2"/>
    <mergeCell ref="AW2:AZ2"/>
    <mergeCell ref="CW2:CZ2"/>
    <mergeCell ref="CO2:CR2"/>
    <mergeCell ref="B46:B50"/>
    <mergeCell ref="Y2:AB2"/>
    <mergeCell ref="AS2:AV2"/>
    <mergeCell ref="M2:P2"/>
    <mergeCell ref="BQ2:BT2"/>
    <mergeCell ref="AG2:AJ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Normal="100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09" width="2.4990234375" customWidth="1" style="118"/>
  </cols>
  <sheetData>
    <row r="1" ht="30" customHeight="1">
      <c r="C1" s="359" t="s">
        <v>171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DF1" s="118" t="s">
        <v>172</v>
      </c>
    </row>
    <row r="2" ht="30" customHeight="1">
      <c r="B2" s="361" t="s">
        <v>173</v>
      </c>
      <c r="C2" s="361"/>
      <c r="D2" s="224" t="s">
        <v>174</v>
      </c>
      <c r="E2" s="362" t="n">
        <v>8</v>
      </c>
      <c r="F2" s="363"/>
      <c r="G2" s="363"/>
      <c r="H2" s="363"/>
      <c r="I2" s="362" t="n">
        <v>9</v>
      </c>
      <c r="J2" s="363"/>
      <c r="K2" s="363"/>
      <c r="L2" s="363"/>
      <c r="M2" s="362" t="n">
        <v>10</v>
      </c>
      <c r="N2" s="363"/>
      <c r="O2" s="363"/>
      <c r="P2" s="363"/>
      <c r="Q2" s="362" t="n">
        <v>11</v>
      </c>
      <c r="R2" s="363"/>
      <c r="S2" s="363"/>
      <c r="T2" s="363"/>
      <c r="U2" s="362" t="n">
        <v>12</v>
      </c>
      <c r="V2" s="363"/>
      <c r="W2" s="363"/>
      <c r="X2" s="363"/>
      <c r="Y2" s="363" t="n">
        <v>1</v>
      </c>
      <c r="Z2" s="363"/>
      <c r="AA2" s="363"/>
      <c r="AB2" s="363"/>
      <c r="AC2" s="363" t="n">
        <v>2</v>
      </c>
      <c r="AD2" s="363"/>
      <c r="AE2" s="363"/>
      <c r="AF2" s="363"/>
      <c r="AG2" s="363" t="n">
        <v>3</v>
      </c>
      <c r="AH2" s="363"/>
      <c r="AI2" s="363"/>
      <c r="AJ2" s="363"/>
      <c r="AK2" s="363" t="n">
        <v>4</v>
      </c>
      <c r="AL2" s="363"/>
      <c r="AM2" s="363"/>
      <c r="AN2" s="363"/>
      <c r="AO2" s="363" t="n">
        <v>5</v>
      </c>
      <c r="AP2" s="363"/>
      <c r="AQ2" s="363"/>
      <c r="AR2" s="363"/>
      <c r="AS2" s="363" t="n">
        <v>6</v>
      </c>
      <c r="AT2" s="363"/>
      <c r="AU2" s="363"/>
      <c r="AV2" s="363"/>
      <c r="AW2" s="363" t="n">
        <v>7</v>
      </c>
      <c r="AX2" s="363"/>
      <c r="AY2" s="363"/>
      <c r="AZ2" s="363"/>
      <c r="BA2" s="363" t="n">
        <v>8</v>
      </c>
      <c r="BB2" s="363"/>
      <c r="BC2" s="363"/>
      <c r="BD2" s="363"/>
      <c r="BE2" s="363" t="n">
        <v>9</v>
      </c>
      <c r="BF2" s="363"/>
      <c r="BG2" s="363"/>
      <c r="BH2" s="363"/>
      <c r="BI2" s="363" t="n">
        <v>10</v>
      </c>
      <c r="BJ2" s="363"/>
      <c r="BK2" s="363"/>
      <c r="BL2" s="363"/>
      <c r="BM2" s="363" t="n">
        <v>11</v>
      </c>
      <c r="BN2" s="363"/>
      <c r="BO2" s="363"/>
      <c r="BP2" s="363"/>
      <c r="BQ2" s="363" t="n">
        <v>12</v>
      </c>
      <c r="BR2" s="363"/>
      <c r="BS2" s="363"/>
      <c r="BT2" s="363"/>
      <c r="BU2" s="363" t="n">
        <v>1</v>
      </c>
      <c r="BV2" s="363"/>
      <c r="BW2" s="363"/>
      <c r="BX2" s="363"/>
      <c r="BY2" s="364" t="n">
        <v>2</v>
      </c>
      <c r="BZ2" s="364"/>
      <c r="CA2" s="364"/>
      <c r="CB2" s="364"/>
      <c r="CC2" s="364" t="n">
        <v>3</v>
      </c>
      <c r="CD2" s="364"/>
      <c r="CE2" s="364"/>
      <c r="CF2" s="364"/>
      <c r="CG2" s="364" t="n">
        <v>4</v>
      </c>
      <c r="CH2" s="364"/>
      <c r="CI2" s="364"/>
      <c r="CJ2" s="364"/>
      <c r="CK2" s="364" t="n">
        <v>5</v>
      </c>
      <c r="CL2" s="364"/>
      <c r="CM2" s="364"/>
      <c r="CN2" s="364"/>
      <c r="CO2" s="364" t="n">
        <v>6</v>
      </c>
      <c r="CP2" s="364"/>
      <c r="CQ2" s="364"/>
      <c r="CR2" s="364"/>
      <c r="CS2" s="364" t="n">
        <v>7</v>
      </c>
      <c r="CT2" s="364"/>
      <c r="CU2" s="364"/>
      <c r="CV2" s="364"/>
      <c r="CW2" s="364" t="n">
        <v>8</v>
      </c>
      <c r="CX2" s="364"/>
      <c r="CY2" s="364"/>
      <c r="CZ2" s="364"/>
      <c r="DA2" s="364" t="n">
        <v>9</v>
      </c>
      <c r="DB2" s="364"/>
      <c r="DC2" s="364"/>
      <c r="DD2" s="364"/>
      <c r="DE2" s="213"/>
    </row>
    <row r="3" ht="30" customHeight="1">
      <c r="B3" s="361" t="s">
        <v>175</v>
      </c>
      <c r="C3" s="361"/>
      <c r="D3" s="224" t="s">
        <v>176</v>
      </c>
      <c r="E3" s="214" t="n">
        <v>1</v>
      </c>
      <c r="F3" s="215" t="n">
        <v>2</v>
      </c>
      <c r="G3" s="215" t="n">
        <v>3</v>
      </c>
      <c r="H3" s="215" t="n">
        <v>4</v>
      </c>
      <c r="I3" s="215" t="n">
        <v>1</v>
      </c>
      <c r="J3" s="215" t="n">
        <v>2</v>
      </c>
      <c r="K3" s="215" t="n">
        <v>3</v>
      </c>
      <c r="L3" s="215" t="n">
        <v>4</v>
      </c>
      <c r="M3" s="214" t="n">
        <v>1</v>
      </c>
      <c r="N3" s="215" t="n">
        <v>2</v>
      </c>
      <c r="O3" s="215" t="n">
        <v>3</v>
      </c>
      <c r="P3" s="215" t="n">
        <v>4</v>
      </c>
      <c r="Q3" s="215" t="n">
        <v>1</v>
      </c>
      <c r="R3" s="215" t="n">
        <v>2</v>
      </c>
      <c r="S3" s="215" t="n">
        <v>3</v>
      </c>
      <c r="T3" s="215" t="n">
        <v>4</v>
      </c>
      <c r="U3" s="214" t="n">
        <v>1</v>
      </c>
      <c r="V3" s="215" t="n">
        <v>2</v>
      </c>
      <c r="W3" s="215" t="n">
        <v>3</v>
      </c>
      <c r="X3" s="215" t="n">
        <v>4</v>
      </c>
      <c r="Y3" s="215" t="n">
        <v>1</v>
      </c>
      <c r="Z3" s="215" t="n">
        <v>2</v>
      </c>
      <c r="AA3" s="215" t="n">
        <v>3</v>
      </c>
      <c r="AB3" s="215" t="n">
        <v>4</v>
      </c>
      <c r="AC3" s="214" t="n">
        <v>1</v>
      </c>
      <c r="AD3" s="215" t="n">
        <v>2</v>
      </c>
      <c r="AE3" s="215" t="n">
        <v>3</v>
      </c>
      <c r="AF3" s="215" t="n">
        <v>4</v>
      </c>
      <c r="AG3" s="215" t="n">
        <v>1</v>
      </c>
      <c r="AH3" s="215" t="n">
        <v>2</v>
      </c>
      <c r="AI3" s="215" t="n">
        <v>3</v>
      </c>
      <c r="AJ3" s="215" t="n">
        <v>4</v>
      </c>
      <c r="AK3" s="214" t="n">
        <v>1</v>
      </c>
      <c r="AL3" s="215" t="n">
        <v>2</v>
      </c>
      <c r="AM3" s="215" t="n">
        <v>3</v>
      </c>
      <c r="AN3" s="215" t="n">
        <v>4</v>
      </c>
      <c r="AO3" s="215" t="n">
        <v>1</v>
      </c>
      <c r="AP3" s="215" t="n">
        <v>2</v>
      </c>
      <c r="AQ3" s="215" t="n">
        <v>3</v>
      </c>
      <c r="AR3" s="215" t="n">
        <v>4</v>
      </c>
      <c r="AS3" s="214" t="n">
        <v>1</v>
      </c>
      <c r="AT3" s="215" t="n">
        <v>2</v>
      </c>
      <c r="AU3" s="215" t="n">
        <v>3</v>
      </c>
      <c r="AV3" s="215" t="n">
        <v>4</v>
      </c>
      <c r="AW3" s="215" t="n">
        <v>1</v>
      </c>
      <c r="AX3" s="215" t="n">
        <v>2</v>
      </c>
      <c r="AY3" s="215" t="n">
        <v>3</v>
      </c>
      <c r="AZ3" s="215" t="n">
        <v>4</v>
      </c>
      <c r="BA3" s="214" t="n">
        <v>1</v>
      </c>
      <c r="BB3" s="215" t="n">
        <v>2</v>
      </c>
      <c r="BC3" s="215" t="n">
        <v>3</v>
      </c>
      <c r="BD3" s="215" t="n">
        <v>4</v>
      </c>
      <c r="BE3" s="215" t="n">
        <v>1</v>
      </c>
      <c r="BF3" s="215" t="n">
        <v>2</v>
      </c>
      <c r="BG3" s="215" t="n">
        <v>3</v>
      </c>
      <c r="BH3" s="215" t="n">
        <v>4</v>
      </c>
      <c r="BI3" s="214" t="n">
        <v>1</v>
      </c>
      <c r="BJ3" s="215" t="n">
        <v>2</v>
      </c>
      <c r="BK3" s="215" t="n">
        <v>3</v>
      </c>
      <c r="BL3" s="215" t="n">
        <v>4</v>
      </c>
      <c r="BM3" s="215" t="n">
        <v>1</v>
      </c>
      <c r="BN3" s="215" t="n">
        <v>2</v>
      </c>
      <c r="BO3" s="215" t="n">
        <v>3</v>
      </c>
      <c r="BP3" s="215" t="n">
        <v>4</v>
      </c>
      <c r="BQ3" s="216" t="n">
        <v>1</v>
      </c>
      <c r="BR3" s="216" t="n">
        <v>2</v>
      </c>
      <c r="BS3" s="216" t="n">
        <v>3</v>
      </c>
      <c r="BT3" s="216" t="n">
        <v>4</v>
      </c>
      <c r="BU3" s="216" t="n">
        <v>1</v>
      </c>
      <c r="BV3" s="216" t="n">
        <v>2</v>
      </c>
      <c r="BW3" s="216" t="n">
        <v>3</v>
      </c>
      <c r="BX3" s="217" t="n">
        <v>4</v>
      </c>
      <c r="BY3" s="215" t="n">
        <v>1</v>
      </c>
      <c r="BZ3" s="216" t="n">
        <v>2</v>
      </c>
      <c r="CA3" s="216" t="n">
        <v>3</v>
      </c>
      <c r="CB3" s="216" t="n">
        <v>4</v>
      </c>
      <c r="CC3" s="216" t="n">
        <v>1</v>
      </c>
      <c r="CD3" s="216" t="n">
        <v>2</v>
      </c>
      <c r="CE3" s="216" t="n">
        <v>3</v>
      </c>
      <c r="CF3" s="216" t="n">
        <v>4</v>
      </c>
      <c r="CG3" s="216" t="n">
        <v>1</v>
      </c>
      <c r="CH3" s="216" t="n">
        <v>2</v>
      </c>
      <c r="CI3" s="216" t="n">
        <v>3</v>
      </c>
      <c r="CJ3" s="216" t="n">
        <v>4</v>
      </c>
      <c r="CK3" s="216" t="n">
        <v>1</v>
      </c>
      <c r="CL3" s="216" t="n">
        <v>2</v>
      </c>
      <c r="CM3" s="216" t="n">
        <v>3</v>
      </c>
      <c r="CN3" s="216" t="n">
        <v>4</v>
      </c>
      <c r="CO3" s="216" t="n">
        <v>1</v>
      </c>
      <c r="CP3" s="216" t="n">
        <v>2</v>
      </c>
      <c r="CQ3" s="216" t="n">
        <v>3</v>
      </c>
      <c r="CR3" s="216" t="n">
        <v>4</v>
      </c>
      <c r="CS3" s="216" t="n">
        <v>1</v>
      </c>
      <c r="CT3" s="216" t="n">
        <v>2</v>
      </c>
      <c r="CU3" s="216" t="n">
        <v>3</v>
      </c>
      <c r="CV3" s="216" t="n">
        <v>4</v>
      </c>
      <c r="CW3" s="216" t="n">
        <v>1</v>
      </c>
      <c r="CX3" s="216" t="n">
        <v>2</v>
      </c>
      <c r="CY3" s="216" t="n">
        <v>3</v>
      </c>
      <c r="CZ3" s="216" t="n">
        <v>4</v>
      </c>
      <c r="DA3" s="216" t="n">
        <v>1</v>
      </c>
      <c r="DB3" s="216" t="n">
        <v>2</v>
      </c>
      <c r="DC3" s="216" t="n">
        <v>3</v>
      </c>
      <c r="DD3" s="216" t="n">
        <v>4</v>
      </c>
      <c r="DE3" s="216" t="n">
        <v>1</v>
      </c>
    </row>
    <row r="4" ht="30" customHeight="1">
      <c r="B4" s="367" t="s">
        <v>177</v>
      </c>
      <c r="C4" s="7" t="s">
        <v>178</v>
      </c>
      <c r="D4" s="8" t="s">
        <v>179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5"/>
      <c r="R4" s="25"/>
      <c r="S4" s="25"/>
      <c r="T4" s="25"/>
      <c r="U4" s="25"/>
      <c r="V4" s="25"/>
      <c r="W4" s="188"/>
      <c r="X4" s="10"/>
      <c r="Y4" s="10"/>
      <c r="Z4" s="188"/>
      <c r="AA4" s="188"/>
      <c r="AB4" s="473" t="s">
        <v>180</v>
      </c>
      <c r="AC4" s="188"/>
      <c r="AD4" s="188"/>
      <c r="AE4" s="10"/>
      <c r="AF4" s="10"/>
      <c r="AG4" s="10"/>
      <c r="AH4" s="10"/>
      <c r="AI4" s="10"/>
      <c r="AJ4" s="10"/>
      <c r="AK4" s="10"/>
      <c r="AL4" s="10"/>
      <c r="AM4" s="31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89"/>
      <c r="BB4" s="89"/>
      <c r="BC4" s="89"/>
      <c r="BD4" s="89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107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112"/>
      <c r="CL4" s="112"/>
      <c r="CM4" s="112"/>
      <c r="CN4" s="112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2"/>
      <c r="DF4" s="115"/>
    </row>
    <row r="5" ht="30" customHeight="1">
      <c r="B5" s="367"/>
      <c r="C5" s="193" t="s">
        <v>181</v>
      </c>
      <c r="D5" s="199" t="s">
        <v>182</v>
      </c>
      <c r="E5" s="9"/>
      <c r="F5" s="10"/>
      <c r="G5" s="10"/>
      <c r="H5" s="10"/>
      <c r="I5" s="10"/>
      <c r="J5" s="10"/>
      <c r="K5" s="10"/>
      <c r="L5" s="10"/>
      <c r="M5" s="81"/>
      <c r="N5" s="81"/>
      <c r="O5" s="81"/>
      <c r="P5" s="80"/>
      <c r="Q5" s="81"/>
      <c r="R5" s="81"/>
      <c r="S5" s="81"/>
      <c r="T5" s="81"/>
      <c r="U5" s="70"/>
      <c r="V5" s="81"/>
      <c r="W5" s="81"/>
      <c r="X5" s="81"/>
      <c r="Y5" s="81"/>
      <c r="Z5" s="81"/>
      <c r="AA5" s="81"/>
      <c r="AB5" s="81"/>
      <c r="AC5" s="81"/>
      <c r="AD5" s="81"/>
      <c r="AE5" s="81"/>
      <c r="AF5" s="10"/>
      <c r="AG5" s="10"/>
      <c r="AH5" s="10"/>
      <c r="AI5" s="10"/>
      <c r="AJ5" s="10"/>
      <c r="AK5" s="10"/>
      <c r="AL5" s="10"/>
      <c r="AM5" s="32"/>
      <c r="AN5" s="32"/>
      <c r="AO5" s="32"/>
      <c r="AP5" s="32"/>
      <c r="AQ5" s="32"/>
      <c r="AR5" s="32"/>
      <c r="AS5" s="32"/>
      <c r="AT5" s="203"/>
      <c r="AU5" s="203"/>
      <c r="AV5" s="203"/>
      <c r="AW5" s="206"/>
      <c r="AX5" s="50"/>
      <c r="AY5" s="32"/>
      <c r="AZ5" s="32"/>
      <c r="BA5" s="89"/>
      <c r="BB5" s="89"/>
      <c r="BC5" s="89"/>
      <c r="BD5" s="89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07"/>
      <c r="BY5" s="112"/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2"/>
      <c r="DF5" s="115"/>
    </row>
    <row r="6" ht="16.5" customHeight="1">
      <c r="B6" s="367"/>
      <c r="C6" s="208" t="s">
        <v>183</v>
      </c>
      <c r="D6" s="200" t="s">
        <v>184</v>
      </c>
      <c r="E6" s="9"/>
      <c r="F6" s="10"/>
      <c r="G6" s="10"/>
      <c r="H6" s="10"/>
      <c r="I6" s="10"/>
      <c r="J6" s="10"/>
      <c r="K6" s="10"/>
      <c r="L6" s="10"/>
      <c r="M6" s="81"/>
      <c r="N6" s="81"/>
      <c r="O6" s="81"/>
      <c r="P6" s="80"/>
      <c r="Q6" s="81"/>
      <c r="R6" s="81"/>
      <c r="S6" s="81"/>
      <c r="T6" s="81"/>
      <c r="U6" s="70"/>
      <c r="V6" s="81"/>
      <c r="W6" s="81"/>
      <c r="X6" s="81"/>
      <c r="Y6" s="81"/>
      <c r="Z6" s="81"/>
      <c r="AA6" s="81"/>
      <c r="AB6" s="81"/>
      <c r="AC6" s="81"/>
      <c r="AD6" s="81"/>
      <c r="AE6" s="81"/>
      <c r="AF6" s="10"/>
      <c r="AG6" s="10"/>
      <c r="AH6" s="10"/>
      <c r="AI6" s="10"/>
      <c r="AJ6" s="10"/>
      <c r="AK6" s="10"/>
      <c r="AL6" s="10"/>
      <c r="AM6" s="31"/>
      <c r="AN6" s="32"/>
      <c r="AO6" s="32"/>
      <c r="AP6" s="206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89"/>
      <c r="BB6" s="89"/>
      <c r="BC6" s="89"/>
      <c r="BD6" s="89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07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2"/>
      <c r="DF6" s="115"/>
    </row>
    <row r="7" ht="30" customHeight="1">
      <c r="B7" s="367"/>
      <c r="C7" s="209" t="s">
        <v>185</v>
      </c>
      <c r="D7" s="204" t="s">
        <v>184</v>
      </c>
      <c r="E7" s="13"/>
      <c r="F7" s="14"/>
      <c r="G7" s="10"/>
      <c r="H7" s="10"/>
      <c r="I7" s="10"/>
      <c r="J7" s="10"/>
      <c r="K7" s="10"/>
      <c r="L7" s="10"/>
      <c r="M7" s="25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32"/>
      <c r="BA7" s="226" t="s">
        <v>185</v>
      </c>
      <c r="BB7" s="226"/>
      <c r="BC7" s="89"/>
      <c r="BD7" s="89"/>
      <c r="BE7" s="226" t="s">
        <v>185</v>
      </c>
      <c r="BF7" s="22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107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112"/>
      <c r="CL7" s="112"/>
      <c r="CM7" s="112"/>
      <c r="CN7" s="112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2"/>
    </row>
    <row r="8" ht="30" customHeight="1">
      <c r="B8" s="367"/>
      <c r="C8" s="209" t="s">
        <v>186</v>
      </c>
      <c r="D8" s="204" t="s">
        <v>182</v>
      </c>
      <c r="E8" s="13"/>
      <c r="F8" s="14"/>
      <c r="G8" s="10"/>
      <c r="H8" s="10"/>
      <c r="I8" s="10"/>
      <c r="J8" s="10"/>
      <c r="K8" s="10"/>
      <c r="L8" s="10"/>
      <c r="M8" s="25"/>
      <c r="N8" s="25"/>
      <c r="O8" s="189"/>
      <c r="P8" s="190"/>
      <c r="Q8" s="189"/>
      <c r="R8" s="189"/>
      <c r="S8" s="10"/>
      <c r="T8" s="10"/>
      <c r="U8" s="9"/>
      <c r="V8" s="10"/>
      <c r="W8" s="10"/>
      <c r="X8" s="20"/>
      <c r="Y8" s="20"/>
      <c r="Z8" s="188"/>
      <c r="AA8" s="188"/>
      <c r="AB8" s="20"/>
      <c r="AC8" s="10"/>
      <c r="AD8" s="188"/>
      <c r="AE8" s="20"/>
      <c r="AF8" s="10"/>
      <c r="AG8" s="10"/>
      <c r="AH8" s="10"/>
      <c r="AI8" s="10"/>
      <c r="AJ8" s="10"/>
      <c r="AK8" s="10"/>
      <c r="AL8" s="195"/>
      <c r="AM8" s="196"/>
      <c r="AN8" s="196"/>
      <c r="AO8" s="196"/>
      <c r="AP8" s="196"/>
      <c r="AQ8" s="196"/>
      <c r="AR8" s="196"/>
      <c r="AS8" s="32"/>
      <c r="AT8" s="206"/>
      <c r="AU8" s="50"/>
      <c r="AV8" s="50"/>
      <c r="AW8" s="50"/>
      <c r="AX8" s="50"/>
      <c r="AY8" s="50"/>
      <c r="AZ8" s="50"/>
      <c r="BA8" s="89"/>
      <c r="BB8" s="89"/>
      <c r="BC8" s="89"/>
      <c r="BD8" s="89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107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112"/>
      <c r="CL8" s="112"/>
      <c r="CM8" s="112"/>
      <c r="CN8" s="112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2"/>
    </row>
    <row r="9" ht="30" customHeight="1">
      <c r="B9" s="367"/>
      <c r="C9" s="208" t="s">
        <v>187</v>
      </c>
      <c r="D9" s="103" t="s">
        <v>182</v>
      </c>
      <c r="E9" s="9"/>
      <c r="F9" s="10"/>
      <c r="G9" s="10"/>
      <c r="H9" s="10"/>
      <c r="I9" s="10"/>
      <c r="J9" s="10"/>
      <c r="K9" s="10"/>
      <c r="L9" s="10"/>
      <c r="M9" s="81"/>
      <c r="N9" s="81"/>
      <c r="O9" s="81"/>
      <c r="P9" s="80"/>
      <c r="Q9" s="81"/>
      <c r="R9" s="81"/>
      <c r="S9" s="81"/>
      <c r="T9" s="81"/>
      <c r="U9" s="70"/>
      <c r="V9" s="81"/>
      <c r="W9" s="81"/>
      <c r="X9" s="81"/>
      <c r="Y9" s="81"/>
      <c r="Z9" s="81"/>
      <c r="AA9" s="81"/>
      <c r="AB9" s="81"/>
      <c r="AC9" s="81"/>
      <c r="AD9" s="81"/>
      <c r="AE9" s="81"/>
      <c r="AF9" s="10"/>
      <c r="AG9" s="10"/>
      <c r="AH9" s="10"/>
      <c r="AI9" s="10"/>
      <c r="AJ9" s="10"/>
      <c r="AK9" s="10"/>
      <c r="AL9" s="10"/>
      <c r="AM9" s="10"/>
      <c r="AN9" s="10"/>
      <c r="AO9" s="196"/>
      <c r="AP9" s="196"/>
      <c r="AQ9" s="196"/>
      <c r="AR9" s="196"/>
      <c r="AS9" s="32"/>
      <c r="AT9" s="50"/>
      <c r="AU9" s="207"/>
      <c r="AV9" s="32"/>
      <c r="AW9" s="206"/>
      <c r="AX9" s="50"/>
      <c r="AY9" s="32"/>
      <c r="AZ9" s="32"/>
      <c r="BA9" s="89"/>
      <c r="BB9" s="89"/>
      <c r="BC9" s="89"/>
      <c r="BD9" s="89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07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2"/>
      <c r="DF9" s="115"/>
    </row>
    <row r="10" ht="30" customHeight="1">
      <c r="B10" s="367"/>
      <c r="C10" s="209" t="s">
        <v>188</v>
      </c>
      <c r="D10" s="201" t="s">
        <v>182</v>
      </c>
      <c r="E10" s="13"/>
      <c r="F10" s="14"/>
      <c r="G10" s="10"/>
      <c r="H10" s="10"/>
      <c r="I10" s="10"/>
      <c r="J10" s="10"/>
      <c r="K10" s="10"/>
      <c r="L10" s="31"/>
      <c r="M10" s="32"/>
      <c r="N10" s="32"/>
      <c r="O10" s="189"/>
      <c r="P10" s="190"/>
      <c r="Q10" s="189"/>
      <c r="R10" s="189"/>
      <c r="S10" s="44"/>
      <c r="T10" s="45"/>
      <c r="U10" s="45"/>
      <c r="V10" s="46"/>
      <c r="W10" s="192"/>
      <c r="X10" s="192"/>
      <c r="Y10" s="192"/>
      <c r="Z10" s="192"/>
      <c r="AA10" s="188"/>
      <c r="AB10" s="188"/>
      <c r="AC10" s="188"/>
      <c r="AD10" s="188"/>
      <c r="AE10" s="20"/>
      <c r="AF10" s="10"/>
      <c r="AG10" s="10"/>
      <c r="AH10" s="10"/>
      <c r="AI10" s="10"/>
      <c r="AJ10" s="10"/>
      <c r="AK10" s="10"/>
      <c r="AL10" s="10"/>
      <c r="AM10" s="10"/>
      <c r="AN10" s="10"/>
      <c r="AO10" s="196"/>
      <c r="AP10" s="196"/>
      <c r="AQ10" s="196"/>
      <c r="AR10" s="196"/>
      <c r="AS10" s="32"/>
      <c r="AT10" s="206"/>
      <c r="AU10" s="32"/>
      <c r="AV10" s="32"/>
      <c r="AW10" s="32"/>
      <c r="AX10" s="32"/>
      <c r="AY10" s="32"/>
      <c r="AZ10" s="32"/>
      <c r="BA10" s="89"/>
      <c r="BB10" s="89"/>
      <c r="BC10" s="89"/>
      <c r="BD10" s="89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107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112"/>
      <c r="CL10" s="112"/>
      <c r="CM10" s="112"/>
      <c r="CN10" s="112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2"/>
    </row>
    <row r="11" ht="28.5" customHeight="1">
      <c r="B11" s="367"/>
      <c r="C11" s="208" t="s">
        <v>189</v>
      </c>
      <c r="D11" s="200" t="s">
        <v>182</v>
      </c>
      <c r="E11" s="9"/>
      <c r="F11" s="10"/>
      <c r="G11" s="10"/>
      <c r="H11" s="10"/>
      <c r="I11" s="10"/>
      <c r="J11" s="10"/>
      <c r="K11" s="10"/>
      <c r="L11" s="10"/>
      <c r="M11" s="81"/>
      <c r="N11" s="81"/>
      <c r="O11" s="81"/>
      <c r="P11" s="80"/>
      <c r="Q11" s="81"/>
      <c r="R11" s="81"/>
      <c r="S11" s="81"/>
      <c r="T11" s="81"/>
      <c r="U11" s="70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10"/>
      <c r="AG11" s="10"/>
      <c r="AH11" s="10"/>
      <c r="AI11" s="10"/>
      <c r="AJ11" s="10"/>
      <c r="AK11" s="10"/>
      <c r="AL11" s="10"/>
      <c r="AM11" s="10"/>
      <c r="AN11" s="32"/>
      <c r="AO11" s="196"/>
      <c r="AP11" s="32"/>
      <c r="AQ11" s="32"/>
      <c r="AR11" s="196"/>
      <c r="AS11" s="198"/>
      <c r="AT11" s="50"/>
      <c r="AU11" s="207"/>
      <c r="AV11" s="32"/>
      <c r="AW11" s="206"/>
      <c r="AX11" s="50"/>
      <c r="AY11" s="32"/>
      <c r="AZ11" s="32"/>
      <c r="BA11" s="89"/>
      <c r="BB11" s="89"/>
      <c r="BC11" s="89"/>
      <c r="BD11" s="89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07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2"/>
      <c r="DF11" s="115"/>
    </row>
    <row r="12" ht="16.5" customHeight="1">
      <c r="B12" s="367"/>
      <c r="C12" s="193" t="s">
        <v>190</v>
      </c>
      <c r="D12" s="200" t="s">
        <v>182</v>
      </c>
      <c r="E12" s="9"/>
      <c r="F12" s="10"/>
      <c r="G12" s="10"/>
      <c r="H12" s="10"/>
      <c r="I12" s="10"/>
      <c r="J12" s="10"/>
      <c r="K12" s="10"/>
      <c r="L12" s="10"/>
      <c r="M12" s="81"/>
      <c r="N12" s="81"/>
      <c r="O12" s="81"/>
      <c r="P12" s="80"/>
      <c r="Q12" s="81"/>
      <c r="R12" s="81"/>
      <c r="S12" s="81"/>
      <c r="T12" s="81"/>
      <c r="U12" s="70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10"/>
      <c r="AG12" s="10"/>
      <c r="AH12" s="10"/>
      <c r="AI12" s="10"/>
      <c r="AJ12" s="10"/>
      <c r="AK12" s="10"/>
      <c r="AL12" s="10"/>
      <c r="AM12" s="10"/>
      <c r="AN12" s="10"/>
      <c r="AO12" s="196"/>
      <c r="AP12" s="32"/>
      <c r="AQ12" s="32"/>
      <c r="AR12" s="196"/>
      <c r="AS12" s="198"/>
      <c r="AT12" s="32"/>
      <c r="AU12" s="50"/>
      <c r="AV12" s="206"/>
      <c r="AW12" s="50"/>
      <c r="AX12" s="32"/>
      <c r="AY12" s="32"/>
      <c r="AZ12" s="32"/>
      <c r="BA12" s="89"/>
      <c r="BB12" s="89"/>
      <c r="BC12" s="89"/>
      <c r="BD12" s="89"/>
      <c r="BE12" s="112"/>
      <c r="BF12" s="112"/>
      <c r="BG12" s="112"/>
      <c r="BH12" s="112"/>
      <c r="BI12" s="112"/>
      <c r="BJ12" s="112"/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07"/>
      <c r="BY12" s="112"/>
      <c r="BZ12" s="112"/>
      <c r="CA12" s="112"/>
      <c r="CB12" s="112"/>
      <c r="CC12" s="112"/>
      <c r="CD12" s="112"/>
      <c r="CE12" s="112"/>
      <c r="CF12" s="112"/>
      <c r="CG12" s="112"/>
      <c r="CH12" s="112"/>
      <c r="CI12" s="112"/>
      <c r="CJ12" s="112"/>
      <c r="CK12" s="112"/>
      <c r="CL12" s="112"/>
      <c r="CM12" s="112"/>
      <c r="CN12" s="112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2"/>
      <c r="DF12" s="115"/>
    </row>
    <row r="13" ht="30" customHeight="1">
      <c r="B13" s="367"/>
      <c r="C13" s="193" t="s">
        <v>191</v>
      </c>
      <c r="D13" s="200" t="s">
        <v>182</v>
      </c>
      <c r="E13" s="9"/>
      <c r="F13" s="10"/>
      <c r="G13" s="10"/>
      <c r="H13" s="10"/>
      <c r="I13" s="10"/>
      <c r="J13" s="10"/>
      <c r="K13" s="10"/>
      <c r="L13" s="10"/>
      <c r="M13" s="81"/>
      <c r="N13" s="81"/>
      <c r="O13" s="81"/>
      <c r="P13" s="80"/>
      <c r="Q13" s="81"/>
      <c r="R13" s="81"/>
      <c r="S13" s="81"/>
      <c r="T13" s="81"/>
      <c r="U13" s="70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10"/>
      <c r="AG13" s="10"/>
      <c r="AH13" s="10"/>
      <c r="AI13" s="10"/>
      <c r="AJ13" s="187"/>
      <c r="AK13" s="10"/>
      <c r="AL13" s="10"/>
      <c r="AM13" s="31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89"/>
      <c r="BB13" s="89"/>
      <c r="BC13" s="89"/>
      <c r="BD13" s="89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07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2"/>
      <c r="DF13" s="115"/>
    </row>
    <row r="14" ht="16.5" customHeight="1">
      <c r="B14" s="367"/>
      <c r="C14" s="208" t="s">
        <v>192</v>
      </c>
      <c r="D14" s="200" t="s">
        <v>182</v>
      </c>
      <c r="E14" s="9"/>
      <c r="F14" s="10"/>
      <c r="G14" s="10"/>
      <c r="H14" s="10"/>
      <c r="I14" s="10"/>
      <c r="J14" s="10"/>
      <c r="K14" s="10"/>
      <c r="L14" s="10"/>
      <c r="M14" s="81"/>
      <c r="N14" s="81"/>
      <c r="O14" s="81"/>
      <c r="P14" s="80"/>
      <c r="Q14" s="81"/>
      <c r="R14" s="81"/>
      <c r="S14" s="81"/>
      <c r="T14" s="81"/>
      <c r="U14" s="70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10"/>
      <c r="AG14" s="10"/>
      <c r="AH14" s="10"/>
      <c r="AI14" s="10"/>
      <c r="AJ14" s="10"/>
      <c r="AK14" s="10"/>
      <c r="AL14" s="10"/>
      <c r="AM14" s="10"/>
      <c r="AN14" s="32"/>
      <c r="AO14" s="32"/>
      <c r="AP14" s="32"/>
      <c r="AQ14" s="32"/>
      <c r="AR14" s="196"/>
      <c r="AS14" s="196"/>
      <c r="AT14" s="196"/>
      <c r="AU14" s="32"/>
      <c r="AV14" s="192"/>
      <c r="AW14" s="206"/>
      <c r="AX14" s="32"/>
      <c r="AY14" s="32"/>
      <c r="AZ14" s="32"/>
      <c r="BA14" s="89"/>
      <c r="BB14" s="89"/>
      <c r="BC14" s="89"/>
      <c r="BD14" s="89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07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2"/>
      <c r="DF14" s="115"/>
    </row>
    <row r="15" ht="30" customHeight="1">
      <c r="B15" s="367"/>
      <c r="C15" s="208" t="s">
        <v>193</v>
      </c>
      <c r="D15" s="200" t="s">
        <v>182</v>
      </c>
      <c r="E15" s="9"/>
      <c r="F15" s="10"/>
      <c r="G15" s="10"/>
      <c r="H15" s="10"/>
      <c r="I15" s="10"/>
      <c r="J15" s="10"/>
      <c r="K15" s="10"/>
      <c r="L15" s="10"/>
      <c r="M15" s="81"/>
      <c r="N15" s="81"/>
      <c r="O15" s="81"/>
      <c r="P15" s="80"/>
      <c r="Q15" s="81"/>
      <c r="R15" s="81"/>
      <c r="S15" s="81"/>
      <c r="T15" s="81"/>
      <c r="U15" s="70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10"/>
      <c r="AG15" s="10"/>
      <c r="AH15" s="10"/>
      <c r="AI15" s="10"/>
      <c r="AJ15" s="10"/>
      <c r="AK15" s="10"/>
      <c r="AL15" s="10"/>
      <c r="AM15" s="10"/>
      <c r="AN15" s="32"/>
      <c r="AO15" s="32"/>
      <c r="AP15" s="32"/>
      <c r="AQ15" s="32"/>
      <c r="AR15" s="196"/>
      <c r="AS15" s="196"/>
      <c r="AT15" s="196"/>
      <c r="AU15" s="32"/>
      <c r="AV15" s="206"/>
      <c r="AW15" s="32"/>
      <c r="AX15" s="32"/>
      <c r="AY15" s="32"/>
      <c r="AZ15" s="32"/>
      <c r="BA15" s="89"/>
      <c r="BB15" s="89"/>
      <c r="BC15" s="89"/>
      <c r="BD15" s="89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07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2"/>
      <c r="DF15" s="115"/>
    </row>
    <row r="16" ht="16.5" customHeight="1">
      <c r="B16" s="367"/>
      <c r="C16" s="208" t="s">
        <v>194</v>
      </c>
      <c r="D16" s="200" t="s">
        <v>182</v>
      </c>
      <c r="E16" s="9"/>
      <c r="F16" s="10"/>
      <c r="G16" s="10"/>
      <c r="H16" s="10"/>
      <c r="I16" s="10"/>
      <c r="J16" s="10"/>
      <c r="K16" s="10"/>
      <c r="L16" s="10"/>
      <c r="M16" s="57"/>
      <c r="N16" s="81"/>
      <c r="O16" s="81"/>
      <c r="P16" s="80"/>
      <c r="Q16" s="81"/>
      <c r="R16" s="81"/>
      <c r="S16" s="81"/>
      <c r="T16" s="81"/>
      <c r="U16" s="70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10"/>
      <c r="AG16" s="10"/>
      <c r="AH16" s="10"/>
      <c r="AI16" s="10"/>
      <c r="AJ16" s="10"/>
      <c r="AK16" s="10"/>
      <c r="AL16" s="10"/>
      <c r="AM16" s="10"/>
      <c r="AN16" s="196"/>
      <c r="AO16" s="196"/>
      <c r="AP16" s="196"/>
      <c r="AQ16" s="32"/>
      <c r="AR16" s="198"/>
      <c r="AS16" s="198"/>
      <c r="AT16" s="32"/>
      <c r="AU16" s="207"/>
      <c r="AV16" s="206"/>
      <c r="AW16" s="50"/>
      <c r="AX16" s="32"/>
      <c r="AY16" s="32"/>
      <c r="AZ16" s="32"/>
      <c r="BA16" s="89"/>
      <c r="BB16" s="89"/>
      <c r="BC16" s="89"/>
      <c r="BD16" s="89"/>
      <c r="BE16" s="112"/>
      <c r="BF16" s="112"/>
      <c r="BG16" s="112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07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2"/>
      <c r="DF16" s="115"/>
    </row>
    <row r="17" ht="30" customHeight="1">
      <c r="B17" s="367"/>
      <c r="C17" s="209" t="s">
        <v>195</v>
      </c>
      <c r="D17" s="202" t="s">
        <v>182</v>
      </c>
      <c r="E17" s="13"/>
      <c r="F17" s="14"/>
      <c r="G17" s="10"/>
      <c r="H17" s="10"/>
      <c r="I17" s="10"/>
      <c r="J17" s="10"/>
      <c r="K17" s="10"/>
      <c r="L17" s="10"/>
      <c r="M17" s="33"/>
      <c r="N17" s="32"/>
      <c r="O17" s="191"/>
      <c r="P17" s="191"/>
      <c r="Q17" s="191"/>
      <c r="R17" s="191"/>
      <c r="S17" s="48"/>
      <c r="T17" s="25"/>
      <c r="U17" s="48"/>
      <c r="V17" s="25"/>
      <c r="W17" s="25"/>
      <c r="X17" s="10"/>
      <c r="Y17" s="10"/>
      <c r="Z17" s="10"/>
      <c r="AA17" s="188"/>
      <c r="AB17" s="188"/>
      <c r="AC17" s="188"/>
      <c r="AD17" s="188"/>
      <c r="AE17" s="10"/>
      <c r="AF17" s="10"/>
      <c r="AG17" s="10"/>
      <c r="AH17" s="10"/>
      <c r="AI17" s="10"/>
      <c r="AJ17" s="10"/>
      <c r="AK17" s="10"/>
      <c r="AL17" s="10"/>
      <c r="AM17" s="31"/>
      <c r="AN17" s="31"/>
      <c r="AO17" s="32"/>
      <c r="AP17" s="32"/>
      <c r="AQ17" s="32"/>
      <c r="AR17" s="32"/>
      <c r="AS17" s="197"/>
      <c r="AT17" s="197"/>
      <c r="AU17" s="32"/>
      <c r="AV17" s="32"/>
      <c r="AW17" s="206"/>
      <c r="AX17" s="32"/>
      <c r="AY17" s="32"/>
      <c r="AZ17" s="32"/>
      <c r="BA17" s="89"/>
      <c r="BB17" s="89"/>
      <c r="BC17" s="89"/>
      <c r="BD17" s="89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107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112"/>
      <c r="CL17" s="112"/>
      <c r="CM17" s="112"/>
      <c r="CN17" s="112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2"/>
    </row>
    <row r="18" ht="30" customHeight="1">
      <c r="B18" s="367"/>
      <c r="C18" s="184" t="s">
        <v>196</v>
      </c>
      <c r="D18" s="17" t="s">
        <v>197</v>
      </c>
      <c r="E18" s="13"/>
      <c r="F18" s="14"/>
      <c r="G18" s="10"/>
      <c r="H18" s="10"/>
      <c r="I18" s="10"/>
      <c r="J18" s="10"/>
      <c r="K18" s="10"/>
      <c r="L18" s="10"/>
      <c r="M18" s="31"/>
      <c r="N18" s="32"/>
      <c r="O18" s="191"/>
      <c r="P18" s="191"/>
      <c r="Q18" s="191"/>
      <c r="R18" s="191"/>
      <c r="S18" s="48"/>
      <c r="T18" s="25"/>
      <c r="U18" s="48"/>
      <c r="V18" s="25"/>
      <c r="W18" s="25"/>
      <c r="X18" s="10"/>
      <c r="Y18" s="10"/>
      <c r="Z18" s="10"/>
      <c r="AA18" s="188"/>
      <c r="AB18" s="10"/>
      <c r="AC18" s="10"/>
      <c r="AD18" s="188"/>
      <c r="AE18" s="10"/>
      <c r="AF18" s="10"/>
      <c r="AG18" s="10"/>
      <c r="AH18" s="10"/>
      <c r="AI18" s="10"/>
      <c r="AJ18" s="10"/>
      <c r="AK18" s="10"/>
      <c r="AL18" s="10"/>
      <c r="AM18" s="31"/>
      <c r="AN18" s="31"/>
      <c r="AO18" s="32"/>
      <c r="AP18" s="32"/>
      <c r="AQ18" s="32"/>
      <c r="AR18" s="32"/>
      <c r="AS18" s="197"/>
      <c r="AT18" s="197"/>
      <c r="AU18" s="32"/>
      <c r="AV18" s="32"/>
      <c r="AW18" s="206"/>
      <c r="AX18" s="32"/>
      <c r="AY18" s="32"/>
      <c r="AZ18" s="32"/>
      <c r="BA18" s="89"/>
      <c r="BB18" s="89"/>
      <c r="BC18" s="89"/>
      <c r="BD18" s="89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107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112"/>
      <c r="CL18" s="112"/>
      <c r="CM18" s="112"/>
      <c r="CN18" s="112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2"/>
    </row>
    <row r="19" ht="30" customHeight="1">
      <c r="B19" s="367"/>
      <c r="C19" s="209" t="s">
        <v>198</v>
      </c>
      <c r="D19" s="17" t="s">
        <v>197</v>
      </c>
      <c r="E19" s="13"/>
      <c r="F19" s="14"/>
      <c r="G19" s="10"/>
      <c r="H19" s="10"/>
      <c r="I19" s="10"/>
      <c r="J19" s="10"/>
      <c r="K19" s="10"/>
      <c r="L19" s="10"/>
      <c r="M19" s="31"/>
      <c r="N19" s="32"/>
      <c r="O19" s="35"/>
      <c r="P19" s="35"/>
      <c r="Q19" s="35"/>
      <c r="R19" s="35"/>
      <c r="S19" s="48"/>
      <c r="T19" s="25"/>
      <c r="U19" s="48"/>
      <c r="V19" s="25"/>
      <c r="W19" s="25"/>
      <c r="X19" s="25"/>
      <c r="Y19" s="10"/>
      <c r="Z19" s="188"/>
      <c r="AA19" s="188"/>
      <c r="AB19" s="10"/>
      <c r="AC19" s="188"/>
      <c r="AD19" s="188"/>
      <c r="AE19" s="10"/>
      <c r="AF19" s="10"/>
      <c r="AG19" s="10"/>
      <c r="AH19" s="10"/>
      <c r="AI19" s="10"/>
      <c r="AJ19" s="10"/>
      <c r="AK19" s="10"/>
      <c r="AL19" s="10"/>
      <c r="AM19" s="10"/>
      <c r="AN19" s="32"/>
      <c r="AO19" s="196"/>
      <c r="AP19" s="196"/>
      <c r="AQ19" s="32"/>
      <c r="AR19" s="32"/>
      <c r="AS19" s="32"/>
      <c r="AT19" s="206"/>
      <c r="AU19" s="32"/>
      <c r="AV19" s="32"/>
      <c r="AW19" s="32"/>
      <c r="AX19" s="32"/>
      <c r="AY19" s="32"/>
      <c r="AZ19" s="32"/>
      <c r="BA19" s="89"/>
      <c r="BB19" s="89"/>
      <c r="BC19" s="89"/>
      <c r="BD19" s="89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107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112"/>
      <c r="CL19" s="112"/>
      <c r="CM19" s="112"/>
      <c r="CN19" s="112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2"/>
    </row>
    <row r="20" ht="30" customHeight="1">
      <c r="B20" s="367"/>
      <c r="C20" s="184" t="s">
        <v>199</v>
      </c>
      <c r="D20" s="17" t="s">
        <v>197</v>
      </c>
      <c r="E20" s="13"/>
      <c r="F20" s="14"/>
      <c r="G20" s="10"/>
      <c r="H20" s="10"/>
      <c r="I20" s="10"/>
      <c r="J20" s="10"/>
      <c r="K20" s="10"/>
      <c r="L20" s="10"/>
      <c r="M20" s="31"/>
      <c r="N20" s="32"/>
      <c r="O20" s="35"/>
      <c r="P20" s="35"/>
      <c r="Q20" s="35"/>
      <c r="R20" s="35"/>
      <c r="S20" s="48"/>
      <c r="T20" s="49"/>
      <c r="U20" s="32"/>
      <c r="V20" s="32"/>
      <c r="W20" s="32"/>
      <c r="X20" s="50"/>
      <c r="Y20" s="10"/>
      <c r="Z20" s="188"/>
      <c r="AA20" s="188"/>
      <c r="AB20" s="188"/>
      <c r="AC20" s="10"/>
      <c r="AD20" s="188"/>
      <c r="AE20" s="10"/>
      <c r="AF20" s="10"/>
      <c r="AG20" s="10"/>
      <c r="AH20" s="10"/>
      <c r="AI20" s="10"/>
      <c r="AJ20" s="10"/>
      <c r="AK20" s="10"/>
      <c r="AL20" s="10"/>
      <c r="AM20" s="31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196"/>
      <c r="AY20" s="196"/>
      <c r="AZ20" s="196"/>
      <c r="BA20" s="89"/>
      <c r="BB20" s="89"/>
      <c r="BC20" s="89"/>
      <c r="BD20" s="89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107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112"/>
      <c r="CL20" s="112"/>
      <c r="CM20" s="112"/>
      <c r="CN20" s="112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2"/>
    </row>
    <row r="21" ht="30" customHeight="1">
      <c r="B21" s="367"/>
      <c r="C21" s="184" t="s">
        <v>200</v>
      </c>
      <c r="D21" s="17" t="s">
        <v>201</v>
      </c>
      <c r="E21" s="13"/>
      <c r="F21" s="14"/>
      <c r="G21" s="10"/>
      <c r="H21" s="10"/>
      <c r="I21" s="10"/>
      <c r="J21" s="10"/>
      <c r="K21" s="10"/>
      <c r="L21" s="10"/>
      <c r="M21" s="31"/>
      <c r="N21" s="36"/>
      <c r="O21" s="36"/>
      <c r="P21" s="36"/>
      <c r="Q21" s="36"/>
      <c r="R21" s="51"/>
      <c r="S21" s="25"/>
      <c r="T21" s="25"/>
      <c r="U21" s="48"/>
      <c r="V21" s="25"/>
      <c r="W21" s="25"/>
      <c r="X21" s="10"/>
      <c r="Y21" s="10"/>
      <c r="Z21" s="10"/>
      <c r="AA21" s="188"/>
      <c r="AB21" s="188"/>
      <c r="AC21" s="10"/>
      <c r="AD21" s="10"/>
      <c r="AE21" s="10"/>
      <c r="AF21" s="10"/>
      <c r="AG21" s="10"/>
      <c r="AH21" s="10"/>
      <c r="AI21" s="10"/>
      <c r="AJ21" s="10"/>
      <c r="AK21" s="10"/>
      <c r="AL21" s="195"/>
      <c r="AM21" s="31"/>
      <c r="AN21" s="32"/>
      <c r="AO21" s="32"/>
      <c r="AP21" s="32"/>
      <c r="AQ21" s="32"/>
      <c r="AR21" s="32"/>
      <c r="AS21" s="32"/>
      <c r="AT21" s="32"/>
      <c r="AU21" s="32"/>
      <c r="AV21" s="206"/>
      <c r="AW21" s="32"/>
      <c r="AX21" s="32"/>
      <c r="AY21" s="32"/>
      <c r="AZ21" s="32"/>
      <c r="BA21" s="89"/>
      <c r="BB21" s="89"/>
      <c r="BC21" s="89"/>
      <c r="BD21" s="89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107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112"/>
      <c r="CL21" s="112"/>
      <c r="CM21" s="112"/>
      <c r="CN21" s="112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2"/>
    </row>
    <row r="22" ht="30" customHeight="1">
      <c r="B22" s="368"/>
      <c r="C22" s="210" t="s">
        <v>202</v>
      </c>
      <c r="D22" s="38" t="s">
        <v>203</v>
      </c>
      <c r="E22" s="13"/>
      <c r="F22" s="14"/>
      <c r="G22" s="10"/>
      <c r="H22" s="10"/>
      <c r="I22" s="10"/>
      <c r="J22" s="10"/>
      <c r="K22" s="10"/>
      <c r="L22" s="10"/>
      <c r="M22" s="31"/>
      <c r="N22" s="8"/>
      <c r="O22" s="8"/>
      <c r="P22" s="32"/>
      <c r="Q22" s="32"/>
      <c r="R22" s="52"/>
      <c r="S22" s="25"/>
      <c r="T22" s="25"/>
      <c r="U22" s="48"/>
      <c r="V22" s="25"/>
      <c r="W22" s="25"/>
      <c r="X22" s="25"/>
      <c r="Y22" s="25"/>
      <c r="Z22" s="25"/>
      <c r="AA22" s="10"/>
      <c r="AB22" s="188"/>
      <c r="AC22" s="188"/>
      <c r="AD22" s="188"/>
      <c r="AE22" s="10"/>
      <c r="AF22" s="10"/>
      <c r="AG22" s="10"/>
      <c r="AH22" s="10"/>
      <c r="AI22" s="10"/>
      <c r="AJ22" s="10"/>
      <c r="AK22" s="10"/>
      <c r="AL22" s="10"/>
      <c r="AM22" s="80"/>
      <c r="AN22" s="77"/>
      <c r="AO22" s="77"/>
      <c r="AP22" s="77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89"/>
      <c r="BB22" s="89"/>
      <c r="BC22" s="89"/>
      <c r="BD22" s="89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107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112"/>
      <c r="CL22" s="112"/>
      <c r="CM22" s="112"/>
      <c r="CN22" s="112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2"/>
    </row>
    <row r="23" ht="30" customHeight="1">
      <c r="B23" s="15"/>
      <c r="C23" s="211" t="s">
        <v>204</v>
      </c>
      <c r="D23" s="38" t="s">
        <v>205</v>
      </c>
      <c r="E23" s="13"/>
      <c r="F23" s="14"/>
      <c r="G23" s="10"/>
      <c r="H23" s="10"/>
      <c r="I23" s="10"/>
      <c r="J23" s="10"/>
      <c r="K23" s="10"/>
      <c r="L23" s="10"/>
      <c r="M23" s="31"/>
      <c r="N23" s="8"/>
      <c r="O23" s="8"/>
      <c r="P23" s="32"/>
      <c r="Q23" s="32"/>
      <c r="R23" s="53"/>
      <c r="S23" s="54"/>
      <c r="T23" s="54"/>
      <c r="U23" s="55"/>
      <c r="V23" s="54"/>
      <c r="W23" s="54"/>
      <c r="X23" s="56"/>
      <c r="Y23" s="54"/>
      <c r="Z23" s="54"/>
      <c r="AA23" s="70"/>
      <c r="AB23" s="188"/>
      <c r="AC23" s="72"/>
      <c r="AD23" s="72"/>
      <c r="AE23" s="72"/>
      <c r="AF23" s="72"/>
      <c r="AG23" s="72"/>
      <c r="AH23" s="72"/>
      <c r="AI23" s="72"/>
      <c r="AJ23" s="72"/>
      <c r="AK23" s="81"/>
      <c r="AL23" s="81"/>
      <c r="AM23" s="49"/>
      <c r="AN23" s="32"/>
      <c r="AO23" s="32"/>
      <c r="AP23" s="197"/>
      <c r="AQ23" s="86"/>
      <c r="AR23" s="198"/>
      <c r="AS23" s="86"/>
      <c r="AT23" s="86"/>
      <c r="AU23" s="86"/>
      <c r="AV23" s="206"/>
      <c r="AW23" s="86"/>
      <c r="AX23" s="86"/>
      <c r="AY23" s="86"/>
      <c r="AZ23" s="86"/>
      <c r="BA23" s="90"/>
      <c r="BB23" s="90"/>
      <c r="BC23" s="90"/>
      <c r="BD23" s="90"/>
      <c r="BE23" s="98"/>
      <c r="BF23" s="98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107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112"/>
      <c r="CL23" s="112"/>
      <c r="CM23" s="112"/>
      <c r="CN23" s="112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2"/>
    </row>
    <row r="24" ht="49.5" customHeight="1">
      <c r="B24" s="6"/>
      <c r="C24" s="204" t="s">
        <v>206</v>
      </c>
      <c r="D24" s="38" t="s">
        <v>207</v>
      </c>
      <c r="E24" s="13"/>
      <c r="F24" s="14"/>
      <c r="G24" s="10"/>
      <c r="H24" s="10"/>
      <c r="I24" s="10"/>
      <c r="J24" s="10"/>
      <c r="K24" s="10"/>
      <c r="L24" s="10"/>
      <c r="M24" s="31"/>
      <c r="N24" s="8"/>
      <c r="O24" s="8"/>
      <c r="P24" s="32"/>
      <c r="Q24" s="32"/>
      <c r="R24" s="32"/>
      <c r="S24" s="32"/>
      <c r="T24" s="32"/>
      <c r="U24" s="32"/>
      <c r="V24" s="32"/>
      <c r="W24" s="32"/>
      <c r="X24" s="57"/>
      <c r="Y24" s="32"/>
      <c r="Z24" s="32"/>
      <c r="AA24" s="48"/>
      <c r="AB24" s="188"/>
      <c r="AC24" s="188"/>
      <c r="AD24" s="188"/>
      <c r="AE24" s="188"/>
      <c r="AF24" s="188"/>
      <c r="AG24" s="188"/>
      <c r="AH24" s="188"/>
      <c r="AI24" s="188"/>
      <c r="AJ24" s="188"/>
      <c r="AK24" s="25"/>
      <c r="AL24" s="25"/>
      <c r="AM24" s="49"/>
      <c r="AN24" s="32"/>
      <c r="AO24" s="32"/>
      <c r="AP24" s="32"/>
      <c r="AQ24" s="77"/>
      <c r="AR24" s="77"/>
      <c r="AS24" s="77"/>
      <c r="AT24" s="77"/>
      <c r="AU24" s="77"/>
      <c r="AV24" s="77"/>
      <c r="AW24" s="77"/>
      <c r="AX24" s="197"/>
      <c r="AY24" s="197"/>
      <c r="AZ24" s="197"/>
      <c r="BA24" s="197"/>
      <c r="BB24" s="119"/>
      <c r="BC24" s="119"/>
      <c r="BD24" s="119"/>
      <c r="BE24" s="119"/>
      <c r="BF24" s="119"/>
      <c r="BG24" s="119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107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112"/>
      <c r="CL24" s="112"/>
      <c r="CM24" s="112"/>
      <c r="CN24" s="112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2"/>
    </row>
    <row r="25" ht="35.25" customHeight="1">
      <c r="A25" s="225"/>
      <c r="B25" s="15"/>
      <c r="C25" s="193" t="s">
        <v>208</v>
      </c>
      <c r="D25" s="200" t="s">
        <v>209</v>
      </c>
      <c r="E25" s="9"/>
      <c r="F25" s="10"/>
      <c r="G25" s="10"/>
      <c r="H25" s="10"/>
      <c r="I25" s="10"/>
      <c r="J25" s="10"/>
      <c r="K25" s="10"/>
      <c r="L25" s="10"/>
      <c r="M25" s="81"/>
      <c r="N25" s="81"/>
      <c r="O25" s="81"/>
      <c r="P25" s="80"/>
      <c r="Q25" s="81"/>
      <c r="R25" s="81"/>
      <c r="S25" s="81"/>
      <c r="T25" s="81"/>
      <c r="U25" s="70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10"/>
      <c r="AG25" s="10"/>
      <c r="AH25" s="10"/>
      <c r="AI25" s="10"/>
      <c r="AJ25" s="10"/>
      <c r="AK25" s="10"/>
      <c r="AL25" s="10"/>
      <c r="AM25" s="31"/>
      <c r="AN25" s="32"/>
      <c r="AO25" s="32"/>
      <c r="AP25" s="32"/>
      <c r="AQ25" s="32"/>
      <c r="AR25" s="32"/>
      <c r="AS25" s="203"/>
      <c r="AT25" s="203"/>
      <c r="AU25" s="203"/>
      <c r="AV25" s="203"/>
      <c r="AW25" s="203"/>
      <c r="AX25" s="227"/>
      <c r="AY25" s="227"/>
      <c r="AZ25" s="227"/>
      <c r="BA25" s="227"/>
      <c r="BB25" s="227"/>
      <c r="BC25" s="89"/>
      <c r="BD25" s="89"/>
      <c r="BE25" s="112"/>
      <c r="BF25" s="112"/>
      <c r="BG25" s="112"/>
      <c r="BH25" s="112"/>
      <c r="BI25" s="112"/>
      <c r="BJ25" s="112"/>
      <c r="BK25" s="112"/>
      <c r="BL25" s="112"/>
      <c r="BM25" s="112"/>
      <c r="BN25" s="112"/>
      <c r="BO25" s="112"/>
      <c r="BP25" s="112"/>
      <c r="BQ25" s="112"/>
      <c r="BR25" s="112"/>
      <c r="BS25" s="112"/>
      <c r="BT25" s="112"/>
      <c r="BU25" s="112"/>
      <c r="BV25" s="112"/>
      <c r="BW25" s="112"/>
      <c r="BX25" s="107"/>
      <c r="BY25" s="112"/>
      <c r="BZ25" s="112"/>
      <c r="CA25" s="112"/>
      <c r="CB25" s="112"/>
      <c r="CC25" s="112"/>
      <c r="CD25" s="112"/>
      <c r="CE25" s="112"/>
      <c r="CF25" s="112"/>
      <c r="CG25" s="112"/>
      <c r="CH25" s="112"/>
      <c r="CI25" s="112"/>
      <c r="CJ25" s="112"/>
      <c r="CK25" s="112"/>
      <c r="CL25" s="112"/>
      <c r="CM25" s="112"/>
      <c r="CN25" s="112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2"/>
      <c r="DF25" s="115"/>
    </row>
    <row r="26" ht="35.25" customHeight="1">
      <c r="B26" s="15"/>
      <c r="C26" s="194" t="s">
        <v>211</v>
      </c>
      <c r="D26" s="200" t="s">
        <v>184</v>
      </c>
      <c r="E26" s="9"/>
      <c r="F26" s="10"/>
      <c r="G26" s="10"/>
      <c r="H26" s="10"/>
      <c r="I26" s="10"/>
      <c r="J26" s="10"/>
      <c r="K26" s="10"/>
      <c r="L26" s="10"/>
      <c r="M26" s="81"/>
      <c r="N26" s="81"/>
      <c r="O26" s="81"/>
      <c r="P26" s="80"/>
      <c r="Q26" s="81"/>
      <c r="R26" s="81"/>
      <c r="S26" s="81"/>
      <c r="T26" s="81"/>
      <c r="U26" s="70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10"/>
      <c r="AG26" s="10"/>
      <c r="AH26" s="10"/>
      <c r="AI26" s="10"/>
      <c r="AJ26" s="10"/>
      <c r="AK26" s="10"/>
      <c r="AL26" s="10"/>
      <c r="AM26" s="31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89"/>
      <c r="BB26" s="89"/>
      <c r="BC26" s="89"/>
      <c r="BD26" s="89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07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2"/>
      <c r="DF26" s="115"/>
    </row>
    <row r="27" ht="35.25" customHeight="1">
      <c r="B27" s="15"/>
      <c r="C27" s="194" t="s">
        <v>212</v>
      </c>
      <c r="D27" s="200" t="s">
        <v>184</v>
      </c>
      <c r="E27" s="9"/>
      <c r="F27" s="10"/>
      <c r="G27" s="10"/>
      <c r="H27" s="10"/>
      <c r="I27" s="10"/>
      <c r="J27" s="10"/>
      <c r="K27" s="10"/>
      <c r="L27" s="10"/>
      <c r="M27" s="81"/>
      <c r="N27" s="81"/>
      <c r="O27" s="81"/>
      <c r="P27" s="80"/>
      <c r="Q27" s="81"/>
      <c r="R27" s="81"/>
      <c r="S27" s="81"/>
      <c r="T27" s="81"/>
      <c r="U27" s="70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10"/>
      <c r="AG27" s="10"/>
      <c r="AH27" s="10"/>
      <c r="AI27" s="10"/>
      <c r="AJ27" s="10"/>
      <c r="AK27" s="10"/>
      <c r="AL27" s="10"/>
      <c r="AM27" s="31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89"/>
      <c r="BB27" s="89"/>
      <c r="BC27" s="89"/>
      <c r="BD27" s="89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07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2"/>
      <c r="DF27" s="115"/>
    </row>
    <row r="28" ht="35.25" customHeight="1">
      <c r="B28" s="15"/>
      <c r="C28" s="194" t="s">
        <v>213</v>
      </c>
      <c r="D28" s="200" t="s">
        <v>184</v>
      </c>
      <c r="E28" s="9"/>
      <c r="F28" s="10"/>
      <c r="G28" s="10"/>
      <c r="H28" s="10"/>
      <c r="I28" s="10"/>
      <c r="J28" s="10"/>
      <c r="K28" s="10"/>
      <c r="L28" s="10"/>
      <c r="M28" s="81"/>
      <c r="N28" s="81"/>
      <c r="O28" s="81"/>
      <c r="P28" s="80"/>
      <c r="Q28" s="81"/>
      <c r="R28" s="81"/>
      <c r="S28" s="81"/>
      <c r="T28" s="81"/>
      <c r="U28" s="70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10"/>
      <c r="AG28" s="10"/>
      <c r="AH28" s="10"/>
      <c r="AI28" s="10"/>
      <c r="AJ28" s="10"/>
      <c r="AK28" s="10"/>
      <c r="AL28" s="10"/>
      <c r="AM28" s="31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89"/>
      <c r="BB28" s="89"/>
      <c r="BC28" s="89"/>
      <c r="BD28" s="89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07"/>
      <c r="BY28" s="112"/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2"/>
      <c r="DF28" s="115"/>
    </row>
    <row r="29" ht="35.25" customHeight="1">
      <c r="B29" s="15"/>
      <c r="C29" s="194" t="s">
        <v>214</v>
      </c>
      <c r="D29" s="200" t="s">
        <v>184</v>
      </c>
      <c r="E29" s="9"/>
      <c r="F29" s="10"/>
      <c r="G29" s="10"/>
      <c r="H29" s="10"/>
      <c r="I29" s="10"/>
      <c r="J29" s="10"/>
      <c r="K29" s="10"/>
      <c r="L29" s="10"/>
      <c r="M29" s="81"/>
      <c r="N29" s="81"/>
      <c r="O29" s="81"/>
      <c r="P29" s="80"/>
      <c r="Q29" s="81"/>
      <c r="R29" s="81"/>
      <c r="S29" s="81"/>
      <c r="T29" s="81"/>
      <c r="U29" s="70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10"/>
      <c r="AG29" s="10"/>
      <c r="AH29" s="10"/>
      <c r="AI29" s="10"/>
      <c r="AJ29" s="10"/>
      <c r="AK29" s="10"/>
      <c r="AL29" s="10"/>
      <c r="AM29" s="31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89"/>
      <c r="BB29" s="89"/>
      <c r="BC29" s="89"/>
      <c r="BD29" s="89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07"/>
      <c r="BY29" s="112"/>
      <c r="BZ29" s="112"/>
      <c r="CA29" s="112"/>
      <c r="CB29" s="112"/>
      <c r="CC29" s="112"/>
      <c r="CD29" s="112"/>
      <c r="CE29" s="112"/>
      <c r="CF29" s="112"/>
      <c r="CG29" s="112"/>
      <c r="CH29" s="112"/>
      <c r="CI29" s="112"/>
      <c r="CJ29" s="112"/>
      <c r="CK29" s="112"/>
      <c r="CL29" s="112"/>
      <c r="CM29" s="112"/>
      <c r="CN29" s="112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2"/>
      <c r="DF29" s="115"/>
    </row>
    <row r="30" ht="33" customHeight="1">
      <c r="B30" s="15"/>
      <c r="C30" s="194" t="s">
        <v>215</v>
      </c>
      <c r="D30" s="200" t="s">
        <v>184</v>
      </c>
      <c r="E30" s="9"/>
      <c r="F30" s="10"/>
      <c r="G30" s="10"/>
      <c r="H30" s="10"/>
      <c r="I30" s="10"/>
      <c r="J30" s="10"/>
      <c r="K30" s="10"/>
      <c r="L30" s="10"/>
      <c r="M30" s="81"/>
      <c r="N30" s="81"/>
      <c r="O30" s="81"/>
      <c r="P30" s="80"/>
      <c r="Q30" s="81"/>
      <c r="R30" s="81"/>
      <c r="S30" s="81"/>
      <c r="T30" s="81"/>
      <c r="U30" s="70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10"/>
      <c r="AG30" s="10"/>
      <c r="AH30" s="10"/>
      <c r="AI30" s="10"/>
      <c r="AJ30" s="10"/>
      <c r="AK30" s="10"/>
      <c r="AL30" s="10"/>
      <c r="AM30" s="31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89"/>
      <c r="BB30" s="89"/>
      <c r="BC30" s="89"/>
      <c r="BD30" s="89"/>
      <c r="BE30" s="112"/>
      <c r="BF30" s="112"/>
      <c r="BG30" s="112"/>
      <c r="BH30" s="112"/>
      <c r="BI30" s="112"/>
      <c r="BJ30" s="112"/>
      <c r="BK30" s="112"/>
      <c r="BL30" s="112"/>
      <c r="BM30" s="112"/>
      <c r="BN30" s="112"/>
      <c r="BO30" s="112"/>
      <c r="BP30" s="112"/>
      <c r="BQ30" s="112"/>
      <c r="BR30" s="112"/>
      <c r="BS30" s="112"/>
      <c r="BT30" s="112"/>
      <c r="BU30" s="112"/>
      <c r="BV30" s="112"/>
      <c r="BW30" s="112"/>
      <c r="BX30" s="107"/>
      <c r="BY30" s="112"/>
      <c r="BZ30" s="112"/>
      <c r="CA30" s="112"/>
      <c r="CB30" s="112"/>
      <c r="CC30" s="112"/>
      <c r="CD30" s="112"/>
      <c r="CE30" s="112"/>
      <c r="CF30" s="112"/>
      <c r="CG30" s="112"/>
      <c r="CH30" s="112"/>
      <c r="CI30" s="112"/>
      <c r="CJ30" s="112"/>
      <c r="CK30" s="112"/>
      <c r="CL30" s="112"/>
      <c r="CM30" s="112"/>
      <c r="CN30" s="112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2"/>
      <c r="DF30" s="115"/>
    </row>
    <row r="31" ht="66" customHeight="1">
      <c r="B31" s="15"/>
      <c r="C31" s="194" t="s">
        <v>216</v>
      </c>
      <c r="D31" s="200" t="s">
        <v>184</v>
      </c>
      <c r="E31" s="9"/>
      <c r="F31" s="10"/>
      <c r="G31" s="10"/>
      <c r="H31" s="10"/>
      <c r="I31" s="10"/>
      <c r="J31" s="10"/>
      <c r="K31" s="10"/>
      <c r="L31" s="10"/>
      <c r="M31" s="81"/>
      <c r="N31" s="81"/>
      <c r="O31" s="81"/>
      <c r="P31" s="80"/>
      <c r="Q31" s="81"/>
      <c r="R31" s="81"/>
      <c r="S31" s="81"/>
      <c r="T31" s="81"/>
      <c r="U31" s="70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10"/>
      <c r="AG31" s="10"/>
      <c r="AH31" s="10"/>
      <c r="AI31" s="10"/>
      <c r="AJ31" s="10"/>
      <c r="AK31" s="10"/>
      <c r="AL31" s="10"/>
      <c r="AM31" s="31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89"/>
      <c r="BB31" s="89"/>
      <c r="BC31" s="89"/>
      <c r="BD31" s="89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07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2"/>
      <c r="DF31" s="115"/>
    </row>
    <row r="32" ht="16.5" customHeight="1">
      <c r="B32" s="15"/>
      <c r="C32" s="194" t="s">
        <v>217</v>
      </c>
      <c r="D32" s="200" t="s">
        <v>184</v>
      </c>
      <c r="E32" s="9"/>
      <c r="F32" s="10"/>
      <c r="G32" s="10"/>
      <c r="H32" s="10"/>
      <c r="I32" s="10"/>
      <c r="J32" s="10"/>
      <c r="K32" s="10"/>
      <c r="L32" s="10"/>
      <c r="M32" s="81"/>
      <c r="N32" s="81"/>
      <c r="O32" s="81"/>
      <c r="P32" s="80"/>
      <c r="Q32" s="81"/>
      <c r="R32" s="81"/>
      <c r="S32" s="81"/>
      <c r="T32" s="81"/>
      <c r="U32" s="70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10"/>
      <c r="AG32" s="10"/>
      <c r="AH32" s="10"/>
      <c r="AI32" s="10"/>
      <c r="AJ32" s="10"/>
      <c r="AK32" s="10"/>
      <c r="AL32" s="10"/>
      <c r="AM32" s="31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89"/>
      <c r="BB32" s="89"/>
      <c r="BC32" s="89"/>
      <c r="BD32" s="89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12"/>
      <c r="BP32" s="112"/>
      <c r="BQ32" s="112"/>
      <c r="BR32" s="112"/>
      <c r="BS32" s="112"/>
      <c r="BT32" s="112"/>
      <c r="BU32" s="112"/>
      <c r="BV32" s="112"/>
      <c r="BW32" s="112"/>
      <c r="BX32" s="107"/>
      <c r="BY32" s="112"/>
      <c r="BZ32" s="112"/>
      <c r="CA32" s="112"/>
      <c r="CB32" s="112"/>
      <c r="CC32" s="112"/>
      <c r="CD32" s="112"/>
      <c r="CE32" s="112"/>
      <c r="CF32" s="112"/>
      <c r="CG32" s="112"/>
      <c r="CH32" s="112"/>
      <c r="CI32" s="112"/>
      <c r="CJ32" s="112"/>
      <c r="CK32" s="112"/>
      <c r="CL32" s="112"/>
      <c r="CM32" s="112"/>
      <c r="CN32" s="112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2"/>
      <c r="DF32" s="115"/>
    </row>
    <row r="33" ht="35.25" customHeight="1">
      <c r="B33" s="15"/>
      <c r="C33" s="212" t="s">
        <v>218</v>
      </c>
      <c r="D33" s="200" t="s">
        <v>219</v>
      </c>
      <c r="E33" s="9"/>
      <c r="F33" s="10"/>
      <c r="G33" s="10"/>
      <c r="H33" s="10"/>
      <c r="I33" s="10"/>
      <c r="J33" s="10"/>
      <c r="K33" s="10"/>
      <c r="L33" s="10"/>
      <c r="M33" s="81"/>
      <c r="N33" s="81"/>
      <c r="O33" s="81"/>
      <c r="P33" s="80"/>
      <c r="Q33" s="81"/>
      <c r="R33" s="81"/>
      <c r="S33" s="81"/>
      <c r="T33" s="81"/>
      <c r="U33" s="70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10"/>
      <c r="AG33" s="10"/>
      <c r="AH33" s="10"/>
      <c r="AI33" s="10"/>
      <c r="AJ33" s="10"/>
      <c r="AK33" s="10"/>
      <c r="AL33" s="10"/>
      <c r="AM33" s="31"/>
      <c r="AN33" s="32"/>
      <c r="AO33" s="32"/>
      <c r="AP33" s="32"/>
      <c r="AQ33" s="32"/>
      <c r="AR33" s="32"/>
      <c r="AS33" s="32"/>
      <c r="AT33" s="32"/>
      <c r="AU33" s="203"/>
      <c r="AV33" s="203"/>
      <c r="AW33" s="203"/>
      <c r="AX33" s="203"/>
      <c r="AY33" s="203"/>
      <c r="AZ33" s="203"/>
      <c r="BA33" s="203"/>
      <c r="BB33" s="203"/>
      <c r="BC33" s="89"/>
      <c r="BD33" s="89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  <c r="BQ33" s="112"/>
      <c r="BR33" s="112"/>
      <c r="BS33" s="112"/>
      <c r="BT33" s="112"/>
      <c r="BU33" s="112"/>
      <c r="BV33" s="112"/>
      <c r="BW33" s="112"/>
      <c r="BX33" s="107"/>
      <c r="BY33" s="112"/>
      <c r="BZ33" s="112"/>
      <c r="CA33" s="112"/>
      <c r="CB33" s="112"/>
      <c r="CC33" s="112"/>
      <c r="CD33" s="112"/>
      <c r="CE33" s="112"/>
      <c r="CF33" s="112"/>
      <c r="CG33" s="112"/>
      <c r="CH33" s="112"/>
      <c r="CI33" s="112"/>
      <c r="CJ33" s="112"/>
      <c r="CK33" s="112"/>
      <c r="CL33" s="112"/>
      <c r="CM33" s="112"/>
      <c r="CN33" s="112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2"/>
      <c r="DF33" s="115"/>
    </row>
    <row r="34" ht="35.25" customHeight="1">
      <c r="B34" s="15"/>
      <c r="C34" s="194" t="s">
        <v>220</v>
      </c>
      <c r="D34" s="200" t="s">
        <v>219</v>
      </c>
      <c r="E34" s="9"/>
      <c r="F34" s="10"/>
      <c r="G34" s="10"/>
      <c r="H34" s="10"/>
      <c r="I34" s="10"/>
      <c r="J34" s="10"/>
      <c r="K34" s="10"/>
      <c r="L34" s="10"/>
      <c r="M34" s="81"/>
      <c r="N34" s="81"/>
      <c r="O34" s="81"/>
      <c r="P34" s="80"/>
      <c r="Q34" s="81"/>
      <c r="R34" s="81"/>
      <c r="S34" s="81"/>
      <c r="T34" s="81"/>
      <c r="U34" s="70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10"/>
      <c r="AG34" s="10"/>
      <c r="AH34" s="10"/>
      <c r="AI34" s="10"/>
      <c r="AJ34" s="10"/>
      <c r="AK34" s="10"/>
      <c r="AL34" s="10"/>
      <c r="AM34" s="31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203"/>
      <c r="BB34" s="203"/>
      <c r="BC34" s="203"/>
      <c r="BD34" s="203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07"/>
      <c r="BY34" s="112"/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112"/>
      <c r="CN34" s="112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2"/>
      <c r="DF34" s="115"/>
    </row>
    <row r="35" ht="35.25" customHeight="1">
      <c r="B35" s="15"/>
      <c r="C35" s="194" t="s">
        <v>221</v>
      </c>
      <c r="D35" s="200" t="s">
        <v>219</v>
      </c>
      <c r="E35" s="9"/>
      <c r="F35" s="10"/>
      <c r="G35" s="10"/>
      <c r="H35" s="10"/>
      <c r="I35" s="10"/>
      <c r="J35" s="10"/>
      <c r="K35" s="10"/>
      <c r="L35" s="10"/>
      <c r="M35" s="81"/>
      <c r="N35" s="81"/>
      <c r="O35" s="81"/>
      <c r="P35" s="80"/>
      <c r="Q35" s="81"/>
      <c r="R35" s="81"/>
      <c r="S35" s="81"/>
      <c r="T35" s="81"/>
      <c r="U35" s="70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10"/>
      <c r="AG35" s="10"/>
      <c r="AH35" s="10"/>
      <c r="AI35" s="10"/>
      <c r="AJ35" s="10"/>
      <c r="AK35" s="10"/>
      <c r="AL35" s="10"/>
      <c r="AM35" s="31"/>
      <c r="AN35" s="203"/>
      <c r="AO35" s="203"/>
      <c r="AP35" s="203"/>
      <c r="AQ35" s="203"/>
      <c r="AR35" s="32"/>
      <c r="AS35" s="32"/>
      <c r="AT35" s="32"/>
      <c r="AU35" s="32"/>
      <c r="AV35" s="32"/>
      <c r="AW35" s="32"/>
      <c r="AX35" s="32"/>
      <c r="AY35" s="32"/>
      <c r="AZ35" s="32"/>
      <c r="BA35" s="89"/>
      <c r="BB35" s="89"/>
      <c r="BC35" s="89"/>
      <c r="BD35" s="89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07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2"/>
      <c r="DF35" s="115"/>
    </row>
    <row r="36" ht="49.5" customHeight="1">
      <c r="B36" s="365" t="s">
        <v>222</v>
      </c>
      <c r="C36" s="211" t="s">
        <v>223</v>
      </c>
      <c r="D36" s="17" t="s">
        <v>224</v>
      </c>
      <c r="E36" s="13"/>
      <c r="F36" s="14"/>
      <c r="G36" s="10"/>
      <c r="H36" s="10"/>
      <c r="I36" s="10"/>
      <c r="J36" s="10"/>
      <c r="K36" s="10"/>
      <c r="L36" s="10"/>
      <c r="M36" s="31"/>
      <c r="N36" s="32"/>
      <c r="O36" s="8"/>
      <c r="P36" s="8"/>
      <c r="Q36" s="8"/>
      <c r="R36" s="32"/>
      <c r="S36" s="32"/>
      <c r="T36" s="32"/>
      <c r="U36" s="32"/>
      <c r="V36" s="32"/>
      <c r="W36" s="32"/>
      <c r="X36" s="32"/>
      <c r="Y36" s="28"/>
      <c r="Z36" s="77"/>
      <c r="AA36" s="32"/>
      <c r="AB36" s="32"/>
      <c r="AC36" s="32"/>
      <c r="AD36" s="32"/>
      <c r="AE36" s="32"/>
      <c r="AF36" s="188"/>
      <c r="AG36" s="188"/>
      <c r="AH36" s="188"/>
      <c r="AI36" s="188"/>
      <c r="AJ36" s="32"/>
      <c r="AK36" s="32"/>
      <c r="AL36" s="32"/>
      <c r="AM36" s="32"/>
      <c r="AN36" s="32"/>
      <c r="AO36" s="32"/>
      <c r="AP36" s="32"/>
      <c r="AQ36" s="197"/>
      <c r="AR36" s="197"/>
      <c r="AS36" s="197"/>
      <c r="AT36" s="198"/>
      <c r="AU36" s="32"/>
      <c r="AV36" s="206"/>
      <c r="AW36" s="32"/>
      <c r="AX36" s="32"/>
      <c r="AY36" s="32"/>
      <c r="AZ36" s="32"/>
      <c r="BA36" s="32"/>
      <c r="BB36" s="32"/>
      <c r="BC36" s="32"/>
      <c r="BD36" s="89"/>
      <c r="BE36" s="89"/>
      <c r="BF36" s="89"/>
      <c r="BG36" s="89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107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112"/>
      <c r="CL36" s="112"/>
      <c r="CM36" s="112"/>
      <c r="CN36" s="112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2"/>
    </row>
    <row r="37" ht="27" customHeight="1">
      <c r="B37" s="366"/>
      <c r="C37" s="17" t="s">
        <v>225</v>
      </c>
      <c r="D37" s="17" t="s">
        <v>224</v>
      </c>
      <c r="E37" s="13"/>
      <c r="F37" s="14"/>
      <c r="G37" s="10"/>
      <c r="H37" s="10"/>
      <c r="I37" s="10"/>
      <c r="J37" s="10"/>
      <c r="K37" s="10"/>
      <c r="L37" s="10"/>
      <c r="M37" s="31"/>
      <c r="N37" s="32"/>
      <c r="O37" s="8"/>
      <c r="P37" s="8"/>
      <c r="Q37" s="8"/>
      <c r="R37" s="32"/>
      <c r="S37" s="32"/>
      <c r="T37" s="32"/>
      <c r="U37" s="32"/>
      <c r="V37" s="32"/>
      <c r="W37" s="32"/>
      <c r="X37" s="32"/>
      <c r="Y37" s="28"/>
      <c r="Z37" s="77"/>
      <c r="AA37" s="32"/>
      <c r="AB37" s="32"/>
      <c r="AC37" s="32"/>
      <c r="AD37" s="32"/>
      <c r="AE37" s="32"/>
      <c r="AF37" s="35"/>
      <c r="AG37" s="35"/>
      <c r="AH37" s="35"/>
      <c r="AI37" s="32"/>
      <c r="AJ37" s="188"/>
      <c r="AK37" s="188"/>
      <c r="AL37" s="32"/>
      <c r="AM37" s="32"/>
      <c r="AN37" s="32"/>
      <c r="AO37" s="32"/>
      <c r="AP37" s="32"/>
      <c r="AQ37" s="32"/>
      <c r="AR37" s="32"/>
      <c r="AS37" s="32"/>
      <c r="AT37" s="32"/>
      <c r="AU37" s="197"/>
      <c r="AV37" s="197"/>
      <c r="AW37" s="32"/>
      <c r="AX37" s="32"/>
      <c r="AY37" s="32"/>
      <c r="AZ37" s="32"/>
      <c r="BA37" s="32"/>
      <c r="BB37" s="32"/>
      <c r="BC37" s="32"/>
      <c r="BD37" s="89"/>
      <c r="BE37" s="89"/>
      <c r="BF37" s="89"/>
      <c r="BG37" s="89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107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112"/>
      <c r="CL37" s="112"/>
      <c r="CM37" s="112"/>
      <c r="CN37" s="112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2"/>
    </row>
    <row r="38" ht="27" customHeight="1">
      <c r="B38" s="366"/>
      <c r="C38" s="211" t="s">
        <v>226</v>
      </c>
      <c r="D38" s="17" t="s">
        <v>224</v>
      </c>
      <c r="E38" s="13"/>
      <c r="F38" s="14"/>
      <c r="G38" s="10"/>
      <c r="H38" s="10"/>
      <c r="I38" s="10"/>
      <c r="J38" s="10"/>
      <c r="K38" s="10"/>
      <c r="L38" s="10"/>
      <c r="M38" s="31"/>
      <c r="N38" s="32"/>
      <c r="O38" s="8"/>
      <c r="P38" s="8"/>
      <c r="Q38" s="8"/>
      <c r="R38" s="32"/>
      <c r="S38" s="32"/>
      <c r="T38" s="32"/>
      <c r="U38" s="32"/>
      <c r="V38" s="32"/>
      <c r="W38" s="32"/>
      <c r="X38" s="32"/>
      <c r="Y38" s="28"/>
      <c r="Z38" s="77"/>
      <c r="AA38" s="32"/>
      <c r="AB38" s="32"/>
      <c r="AC38" s="32"/>
      <c r="AD38" s="32"/>
      <c r="AE38" s="32"/>
      <c r="AF38" s="35"/>
      <c r="AG38" s="35"/>
      <c r="AH38" s="35"/>
      <c r="AI38" s="32"/>
      <c r="AJ38" s="32"/>
      <c r="AK38" s="32"/>
      <c r="AL38" s="188"/>
      <c r="AM38" s="188"/>
      <c r="AN38" s="32"/>
      <c r="AO38" s="32"/>
      <c r="AP38" s="32"/>
      <c r="AQ38" s="32"/>
      <c r="AR38" s="32"/>
      <c r="AS38" s="50"/>
      <c r="AT38" s="50"/>
      <c r="AU38" s="197"/>
      <c r="AV38" s="50"/>
      <c r="AW38" s="32"/>
      <c r="AX38" s="32"/>
      <c r="AY38" s="32"/>
      <c r="AZ38" s="32"/>
      <c r="BA38" s="32"/>
      <c r="BB38" s="32"/>
      <c r="BC38" s="32"/>
      <c r="BD38" s="89"/>
      <c r="BE38" s="89"/>
      <c r="BF38" s="89"/>
      <c r="BG38" s="89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107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112"/>
      <c r="CL38" s="112"/>
      <c r="CM38" s="112"/>
      <c r="CN38" s="112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2"/>
    </row>
    <row r="39" ht="66" customHeight="1">
      <c r="B39" s="366"/>
      <c r="C39" s="17" t="s">
        <v>227</v>
      </c>
      <c r="D39" s="17" t="s">
        <v>224</v>
      </c>
      <c r="E39" s="13"/>
      <c r="F39" s="14"/>
      <c r="G39" s="10"/>
      <c r="H39" s="10"/>
      <c r="I39" s="10"/>
      <c r="J39" s="10"/>
      <c r="K39" s="10"/>
      <c r="L39" s="10"/>
      <c r="M39" s="31"/>
      <c r="N39" s="32"/>
      <c r="O39" s="8"/>
      <c r="P39" s="8"/>
      <c r="Q39" s="8"/>
      <c r="R39" s="32"/>
      <c r="S39" s="8"/>
      <c r="T39" s="8"/>
      <c r="U39" s="8"/>
      <c r="V39" s="8"/>
      <c r="W39" s="8"/>
      <c r="X39" s="8"/>
      <c r="Y39" s="8"/>
      <c r="Z39" s="8"/>
      <c r="AA39" s="79"/>
      <c r="AB39" s="79"/>
      <c r="AC39" s="79"/>
      <c r="AD39" s="79"/>
      <c r="AE39" s="79"/>
      <c r="AF39" s="79"/>
      <c r="AG39" s="79"/>
      <c r="AH39" s="79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97"/>
      <c r="AV39" s="197"/>
      <c r="AW39" s="198"/>
      <c r="AX39" s="197"/>
      <c r="AY39" s="197"/>
      <c r="AZ39" s="197"/>
      <c r="BA39" s="197"/>
      <c r="BB39" s="197"/>
      <c r="BC39" s="197"/>
      <c r="BD39" s="197"/>
      <c r="BE39" s="197"/>
      <c r="BF39" s="197"/>
      <c r="BG39" s="197"/>
      <c r="BH39" s="197"/>
      <c r="BI39" s="197"/>
      <c r="BJ39" s="197"/>
      <c r="BK39" s="197"/>
      <c r="BL39" s="197"/>
      <c r="BM39" s="197"/>
      <c r="BN39" s="197"/>
      <c r="BO39" s="197"/>
      <c r="BP39" s="197"/>
      <c r="BQ39" s="197"/>
      <c r="BR39" s="32"/>
      <c r="BS39" s="32"/>
      <c r="BT39" s="89"/>
      <c r="BU39" s="89"/>
      <c r="BV39" s="89"/>
      <c r="BW39" s="89"/>
      <c r="BX39" s="107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112"/>
      <c r="CL39" s="112"/>
      <c r="CM39" s="112"/>
      <c r="CN39" s="112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2"/>
    </row>
    <row r="40" ht="30.599999999999998" customHeight="1">
      <c r="B40" s="366"/>
      <c r="C40" s="17" t="s">
        <v>228</v>
      </c>
      <c r="D40" s="204" t="s">
        <v>229</v>
      </c>
      <c r="E40" s="19"/>
      <c r="F40" s="20"/>
      <c r="G40" s="20"/>
      <c r="H40" s="20"/>
      <c r="I40" s="20"/>
      <c r="J40" s="20"/>
      <c r="K40" s="20"/>
      <c r="L40" s="20"/>
      <c r="M40" s="37"/>
      <c r="N40" s="38"/>
      <c r="O40" s="8"/>
      <c r="P40" s="8"/>
      <c r="Q40" s="8"/>
      <c r="R40" s="32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0"/>
      <c r="AX40" s="197"/>
      <c r="AY40" s="197"/>
      <c r="AZ40" s="197"/>
      <c r="BA40" s="197"/>
      <c r="BB40" s="197"/>
      <c r="BC40" s="197"/>
      <c r="BD40" s="197"/>
      <c r="BE40" s="197"/>
      <c r="BF40" s="197"/>
      <c r="BG40" s="197"/>
      <c r="BH40" s="197"/>
      <c r="BI40" s="197"/>
      <c r="BJ40" s="197"/>
      <c r="BK40" s="197"/>
      <c r="BL40" s="197"/>
      <c r="BM40" s="197"/>
      <c r="BN40" s="197"/>
      <c r="BO40" s="32"/>
      <c r="BP40" s="32"/>
      <c r="BQ40" s="32"/>
      <c r="BR40" s="32"/>
      <c r="BS40" s="32"/>
      <c r="BT40" s="89"/>
      <c r="BU40" s="89"/>
      <c r="BV40" s="89"/>
      <c r="BW40" s="89"/>
      <c r="BX40" s="107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112"/>
      <c r="CL40" s="112"/>
      <c r="CM40" s="112"/>
      <c r="CN40" s="112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2"/>
    </row>
    <row r="41" ht="33" customHeight="1">
      <c r="B41" s="366"/>
      <c r="C41" s="17" t="s">
        <v>230</v>
      </c>
      <c r="D41" s="17" t="s">
        <v>224</v>
      </c>
      <c r="E41" s="13"/>
      <c r="F41" s="14"/>
      <c r="G41" s="10"/>
      <c r="H41" s="10"/>
      <c r="I41" s="10"/>
      <c r="J41" s="10"/>
      <c r="K41" s="10"/>
      <c r="L41" s="10"/>
      <c r="M41" s="31"/>
      <c r="N41" s="32"/>
      <c r="O41" s="8"/>
      <c r="P41" s="8"/>
      <c r="Q41" s="8"/>
      <c r="R41" s="32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2"/>
      <c r="AJ41" s="32"/>
      <c r="AK41" s="32"/>
      <c r="AL41" s="32"/>
      <c r="AM41" s="32"/>
      <c r="AN41" s="9"/>
      <c r="AO41" s="10"/>
      <c r="AP41" s="10"/>
      <c r="AQ41" s="10"/>
      <c r="AR41" s="10"/>
      <c r="AS41" s="10"/>
      <c r="AT41" s="10"/>
      <c r="AU41" s="10"/>
      <c r="AV41" s="10"/>
      <c r="AW41" s="31"/>
      <c r="AX41" s="32"/>
      <c r="AY41" s="188"/>
      <c r="AZ41" s="188"/>
      <c r="BA41" s="188"/>
      <c r="BB41" s="188"/>
      <c r="BC41" s="188"/>
      <c r="BD41" s="188"/>
      <c r="BE41" s="188"/>
      <c r="BF41" s="99"/>
      <c r="BG41" s="32"/>
      <c r="BH41" s="32"/>
      <c r="BI41" s="50"/>
      <c r="BJ41" s="32"/>
      <c r="BK41" s="32"/>
      <c r="BL41" s="32"/>
      <c r="BM41" s="32"/>
      <c r="BN41" s="32"/>
      <c r="BO41" s="197"/>
      <c r="BP41" s="197"/>
      <c r="BQ41" s="197"/>
      <c r="BR41" s="197"/>
      <c r="BS41" s="197"/>
      <c r="BT41" s="197"/>
      <c r="BU41" s="197"/>
      <c r="BV41" s="89"/>
      <c r="BW41" s="89"/>
      <c r="BX41" s="107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112"/>
      <c r="CL41" s="112"/>
      <c r="CM41" s="112"/>
      <c r="CN41" s="112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2"/>
    </row>
    <row r="42" ht="30.599999999999998" customHeight="1">
      <c r="B42" s="366"/>
      <c r="C42" s="17" t="s">
        <v>231</v>
      </c>
      <c r="D42" s="17" t="s">
        <v>232</v>
      </c>
      <c r="E42" s="13"/>
      <c r="F42" s="14"/>
      <c r="G42" s="10"/>
      <c r="H42" s="10"/>
      <c r="I42" s="10"/>
      <c r="J42" s="10"/>
      <c r="K42" s="10"/>
      <c r="L42" s="10"/>
      <c r="M42" s="31"/>
      <c r="N42" s="32"/>
      <c r="O42" s="8"/>
      <c r="P42" s="8"/>
      <c r="Q42" s="8"/>
      <c r="R42" s="32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2"/>
      <c r="AJ42" s="32"/>
      <c r="AK42" s="32"/>
      <c r="AL42" s="32"/>
      <c r="AM42" s="32"/>
      <c r="AN42" s="9"/>
      <c r="AO42" s="10"/>
      <c r="AP42" s="10"/>
      <c r="AQ42" s="10"/>
      <c r="AR42" s="10"/>
      <c r="AS42" s="10"/>
      <c r="AT42" s="10"/>
      <c r="AU42" s="10"/>
      <c r="AV42" s="10"/>
      <c r="AW42" s="31"/>
      <c r="AX42" s="32"/>
      <c r="AY42" s="35"/>
      <c r="AZ42" s="35"/>
      <c r="BA42" s="35"/>
      <c r="BB42" s="35"/>
      <c r="BC42" s="35"/>
      <c r="BD42" s="35"/>
      <c r="BE42" s="188"/>
      <c r="BF42" s="188"/>
      <c r="BG42" s="188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89"/>
      <c r="BU42" s="89"/>
      <c r="BV42" s="197"/>
      <c r="BW42" s="197"/>
      <c r="BX42" s="197"/>
      <c r="BY42" s="197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112"/>
      <c r="CL42" s="112"/>
      <c r="CM42" s="112"/>
      <c r="CN42" s="112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2"/>
    </row>
    <row r="43" ht="82.5" customHeight="1">
      <c r="B43" s="366"/>
      <c r="C43" s="17" t="s">
        <v>233</v>
      </c>
      <c r="D43" s="17" t="s">
        <v>224</v>
      </c>
      <c r="E43" s="13"/>
      <c r="F43" s="14"/>
      <c r="G43" s="10"/>
      <c r="H43" s="10"/>
      <c r="I43" s="10"/>
      <c r="J43" s="10"/>
      <c r="K43" s="10"/>
      <c r="L43" s="10"/>
      <c r="M43" s="31"/>
      <c r="N43" s="32"/>
      <c r="O43" s="8"/>
      <c r="P43" s="8"/>
      <c r="Q43" s="8"/>
      <c r="R43" s="32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2"/>
      <c r="AJ43" s="32"/>
      <c r="AK43" s="32"/>
      <c r="AL43" s="32"/>
      <c r="AM43" s="32"/>
      <c r="AN43" s="9"/>
      <c r="AO43" s="10"/>
      <c r="AP43" s="10"/>
      <c r="AQ43" s="10"/>
      <c r="AR43" s="10"/>
      <c r="AS43" s="10"/>
      <c r="AT43" s="10"/>
      <c r="AU43" s="197"/>
      <c r="AV43" s="197"/>
      <c r="AW43" s="197"/>
      <c r="AX43" s="197"/>
      <c r="AY43" s="197"/>
      <c r="AZ43" s="197"/>
      <c r="BA43" s="205"/>
      <c r="BB43" s="197"/>
      <c r="BC43" s="197"/>
      <c r="BD43" s="197"/>
      <c r="BE43" s="197"/>
      <c r="BF43" s="197"/>
      <c r="BG43" s="197"/>
      <c r="BH43" s="50"/>
      <c r="BI43" s="50"/>
      <c r="BJ43" s="50"/>
      <c r="BK43" s="50"/>
      <c r="BL43" s="50"/>
      <c r="BM43" s="50"/>
      <c r="BN43" s="50"/>
      <c r="BO43" s="32"/>
      <c r="BP43" s="32"/>
      <c r="BQ43" s="197"/>
      <c r="BR43" s="197"/>
      <c r="BS43" s="197"/>
      <c r="BT43" s="197"/>
      <c r="BU43" s="197"/>
      <c r="BV43" s="197"/>
      <c r="BW43" s="197"/>
      <c r="BX43" s="197"/>
      <c r="BY43" s="197"/>
      <c r="BZ43" s="197"/>
      <c r="CA43" s="197"/>
      <c r="CB43" s="197"/>
      <c r="CC43" s="197"/>
      <c r="CD43" s="96"/>
      <c r="CE43" s="96"/>
      <c r="CF43" s="96"/>
      <c r="CG43" s="96"/>
      <c r="CH43" s="96"/>
      <c r="CI43" s="96"/>
      <c r="CJ43" s="96"/>
      <c r="CK43" s="112"/>
      <c r="CL43" s="112"/>
      <c r="CM43" s="112"/>
      <c r="CN43" s="112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2"/>
    </row>
    <row r="44" ht="33" customHeight="1">
      <c r="B44" s="366"/>
      <c r="C44" s="17" t="s">
        <v>234</v>
      </c>
      <c r="D44" s="17" t="s">
        <v>235</v>
      </c>
      <c r="E44" s="21"/>
      <c r="F44" s="22"/>
      <c r="G44" s="10"/>
      <c r="H44" s="10"/>
      <c r="I44" s="10"/>
      <c r="J44" s="10"/>
      <c r="K44" s="10"/>
      <c r="L44" s="10"/>
      <c r="M44" s="31"/>
      <c r="N44" s="32"/>
      <c r="O44" s="8"/>
      <c r="P44" s="8"/>
      <c r="Q44" s="8"/>
      <c r="R44" s="32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2"/>
      <c r="AJ44" s="32"/>
      <c r="AK44" s="32"/>
      <c r="AL44" s="32"/>
      <c r="AM44" s="32"/>
      <c r="AN44" s="9"/>
      <c r="AO44" s="10"/>
      <c r="AP44" s="10"/>
      <c r="AQ44" s="10"/>
      <c r="AR44" s="10"/>
      <c r="AS44" s="10"/>
      <c r="AT44" s="10"/>
      <c r="AU44" s="10"/>
      <c r="AV44" s="10"/>
      <c r="AW44" s="10"/>
      <c r="AX44" s="39"/>
      <c r="AY44" s="39"/>
      <c r="AZ44" s="39"/>
      <c r="BA44" s="39"/>
      <c r="BB44" s="39"/>
      <c r="BC44" s="39"/>
      <c r="BD44" s="10"/>
      <c r="BE44" s="10"/>
      <c r="BF44" s="31"/>
      <c r="BG44" s="32"/>
      <c r="BH44" s="32"/>
      <c r="BI44" s="31"/>
      <c r="BJ44" s="35"/>
      <c r="BK44" s="35"/>
      <c r="BL44" s="183"/>
      <c r="BM44" s="32"/>
      <c r="BN44" s="32"/>
      <c r="BO44" s="188"/>
      <c r="BP44" s="188"/>
      <c r="BQ44" s="32"/>
      <c r="BR44" s="32"/>
      <c r="BS44" s="32"/>
      <c r="BT44" s="89"/>
      <c r="BU44" s="89"/>
      <c r="BV44" s="89"/>
      <c r="BW44" s="89"/>
      <c r="BX44" s="107"/>
      <c r="BY44" s="96"/>
      <c r="BZ44" s="96"/>
      <c r="CA44" s="96"/>
      <c r="CB44" s="96"/>
      <c r="CC44" s="96"/>
      <c r="CD44" s="197"/>
      <c r="CE44" s="197"/>
      <c r="CF44" s="96"/>
      <c r="CG44" s="96"/>
      <c r="CH44" s="96"/>
      <c r="CI44" s="96"/>
      <c r="CJ44" s="96"/>
      <c r="CK44" s="112"/>
      <c r="CL44" s="112"/>
      <c r="CM44" s="112"/>
      <c r="CN44" s="112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2"/>
    </row>
    <row r="45" ht="30" customHeight="1">
      <c r="B45" s="369"/>
      <c r="C45" s="183" t="s">
        <v>236</v>
      </c>
      <c r="D45" s="17" t="s">
        <v>235</v>
      </c>
      <c r="E45" s="13"/>
      <c r="F45" s="14"/>
      <c r="G45" s="9"/>
      <c r="H45" s="10"/>
      <c r="I45" s="10"/>
      <c r="J45" s="10"/>
      <c r="K45" s="10"/>
      <c r="L45" s="10"/>
      <c r="M45" s="31"/>
      <c r="N45" s="32"/>
      <c r="O45" s="8"/>
      <c r="P45" s="8"/>
      <c r="Q45" s="8"/>
      <c r="R45" s="32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2"/>
      <c r="AJ45" s="32"/>
      <c r="AK45" s="32"/>
      <c r="AL45" s="32"/>
      <c r="AM45" s="32"/>
      <c r="AN45" s="9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31"/>
      <c r="BG45" s="32"/>
      <c r="BH45" s="32"/>
      <c r="BI45" s="32"/>
      <c r="BJ45" s="32"/>
      <c r="BK45" s="32"/>
      <c r="BL45" s="35"/>
      <c r="BM45" s="35"/>
      <c r="BN45" s="35"/>
      <c r="BO45" s="35"/>
      <c r="BP45" s="35"/>
      <c r="BQ45" s="188"/>
      <c r="BR45" s="188"/>
      <c r="BS45" s="188"/>
      <c r="BT45" s="188"/>
      <c r="BU45" s="188"/>
      <c r="BV45" s="188"/>
      <c r="BW45" s="188"/>
      <c r="BX45" s="188"/>
      <c r="BY45" s="188"/>
      <c r="BZ45" s="188"/>
      <c r="CA45" s="188"/>
      <c r="CB45" s="188"/>
      <c r="CC45" s="96"/>
      <c r="CD45" s="96"/>
      <c r="CE45" s="96"/>
      <c r="CF45" s="197"/>
      <c r="CG45" s="197"/>
      <c r="CH45" s="197"/>
      <c r="CI45" s="197"/>
      <c r="CJ45" s="197"/>
      <c r="CK45" s="197"/>
      <c r="CL45" s="197"/>
      <c r="CM45" s="197"/>
      <c r="CN45" s="197"/>
      <c r="CO45" s="197"/>
      <c r="CP45" s="197"/>
      <c r="CQ45" s="197"/>
      <c r="CR45" s="119"/>
      <c r="CS45" s="119"/>
      <c r="CT45" s="119"/>
      <c r="CU45" s="119"/>
      <c r="CV45" s="119"/>
      <c r="CW45" s="197"/>
      <c r="CX45" s="197"/>
      <c r="CY45" s="197"/>
      <c r="CZ45" s="119"/>
      <c r="DA45" s="119"/>
      <c r="DB45" s="119"/>
      <c r="DC45" s="119"/>
      <c r="DD45" s="119"/>
      <c r="DE45" s="112"/>
    </row>
    <row r="46" ht="30" customHeight="1">
      <c r="B46" s="370" t="s">
        <v>237</v>
      </c>
      <c r="C46" s="38" t="s">
        <v>238</v>
      </c>
      <c r="D46" s="38" t="s">
        <v>239</v>
      </c>
      <c r="E46" s="13"/>
      <c r="F46" s="14"/>
      <c r="G46" s="10"/>
      <c r="H46" s="10"/>
      <c r="I46" s="10"/>
      <c r="J46" s="10"/>
      <c r="K46" s="10"/>
      <c r="L46" s="10"/>
      <c r="M46" s="10"/>
      <c r="N46" s="39"/>
      <c r="O46" s="39"/>
      <c r="P46" s="188"/>
      <c r="Q46" s="188"/>
      <c r="R46" s="188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10"/>
      <c r="AJ46" s="10"/>
      <c r="AK46" s="10"/>
      <c r="AL46" s="10"/>
      <c r="AM46" s="31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89"/>
      <c r="BB46" s="89"/>
      <c r="BC46" s="89"/>
      <c r="BD46" s="89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107"/>
      <c r="BY46" s="96"/>
      <c r="BZ46" s="96"/>
      <c r="CA46" s="96"/>
      <c r="CB46" s="96"/>
      <c r="CC46" s="96"/>
      <c r="CD46" s="96"/>
      <c r="CE46" s="96"/>
      <c r="CF46" s="96"/>
      <c r="CG46" s="96"/>
      <c r="CH46" s="96"/>
      <c r="CI46" s="96"/>
      <c r="CJ46" s="96"/>
      <c r="CK46" s="112"/>
      <c r="CL46" s="112"/>
      <c r="CM46" s="112"/>
      <c r="CN46" s="112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2"/>
    </row>
    <row r="47" ht="30" customHeight="1">
      <c r="B47" s="367"/>
      <c r="C47" s="17" t="s">
        <v>240</v>
      </c>
      <c r="D47" s="38" t="s">
        <v>239</v>
      </c>
      <c r="E47" s="23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80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96"/>
      <c r="BV47" s="96"/>
      <c r="BW47" s="96"/>
      <c r="BX47" s="107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112"/>
      <c r="CL47" s="112"/>
      <c r="CM47" s="112"/>
      <c r="CN47" s="112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2"/>
    </row>
    <row r="48" ht="30" customHeight="1">
      <c r="B48" s="367"/>
      <c r="C48" s="38" t="s">
        <v>185</v>
      </c>
      <c r="D48" s="38" t="s">
        <v>239</v>
      </c>
      <c r="E48" s="8"/>
      <c r="F48" s="8"/>
      <c r="G48" s="8"/>
      <c r="H48" s="8"/>
      <c r="I48" s="8"/>
      <c r="J48" s="8"/>
      <c r="K48" s="8"/>
      <c r="L48" s="8"/>
      <c r="M48" s="188"/>
      <c r="N48" s="8"/>
      <c r="O48" s="8"/>
      <c r="P48" s="8"/>
      <c r="Q48" s="8"/>
      <c r="R48" s="8"/>
      <c r="S48" s="188"/>
      <c r="T48" s="18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107"/>
      <c r="BY48" s="96"/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112"/>
      <c r="CL48" s="112"/>
      <c r="CM48" s="112"/>
      <c r="CN48" s="112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2"/>
    </row>
    <row r="49" ht="30" customHeight="1">
      <c r="B49" s="367"/>
      <c r="C49" s="17" t="s">
        <v>241</v>
      </c>
      <c r="D49" s="38" t="s">
        <v>239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107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112"/>
      <c r="CL49" s="112"/>
      <c r="CM49" s="112"/>
      <c r="CN49" s="112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2"/>
    </row>
    <row r="50" ht="30" customHeight="1">
      <c r="B50" s="367"/>
      <c r="C50" s="186" t="s">
        <v>242</v>
      </c>
      <c r="D50" s="185" t="s">
        <v>239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6"/>
      <c r="BV50" s="96"/>
      <c r="BW50" s="96"/>
      <c r="BX50" s="107"/>
      <c r="BY50" s="96"/>
      <c r="BZ50" s="96"/>
      <c r="CA50" s="96"/>
      <c r="CB50" s="96"/>
      <c r="CC50" s="96"/>
      <c r="CD50" s="96"/>
      <c r="CE50" s="96"/>
      <c r="CF50" s="96"/>
      <c r="CG50" s="96"/>
      <c r="CH50" s="96"/>
      <c r="CI50" s="96"/>
      <c r="CJ50" s="96"/>
      <c r="CK50" s="112"/>
      <c r="CL50" s="112"/>
      <c r="CM50" s="112"/>
      <c r="CN50" s="112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2"/>
    </row>
    <row r="51" ht="30" customHeight="1">
      <c r="B51" s="365" t="s">
        <v>243</v>
      </c>
      <c r="C51" s="17" t="s">
        <v>244</v>
      </c>
      <c r="D51" s="38" t="s">
        <v>245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188"/>
      <c r="AK51" s="188"/>
      <c r="AL51" s="188"/>
      <c r="AM51" s="188"/>
      <c r="AN51" s="188"/>
      <c r="AO51" s="188"/>
      <c r="AP51" s="188"/>
      <c r="AQ51" s="188"/>
      <c r="AR51" s="8"/>
      <c r="AS51" s="8"/>
      <c r="AT51" s="8"/>
      <c r="AU51" s="8"/>
      <c r="AV51" s="8"/>
      <c r="AW51" s="8"/>
      <c r="AX51" s="8"/>
      <c r="AY51" s="8"/>
      <c r="AZ51" s="8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107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96"/>
      <c r="CK51" s="112"/>
      <c r="CL51" s="112"/>
      <c r="CM51" s="112"/>
      <c r="CN51" s="112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2"/>
    </row>
    <row r="52" ht="30" customHeight="1">
      <c r="B52" s="366"/>
      <c r="C52" s="38" t="s">
        <v>246</v>
      </c>
      <c r="D52" s="38" t="s">
        <v>247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109"/>
      <c r="BY52" s="110"/>
      <c r="BZ52" s="96"/>
      <c r="CA52" s="96"/>
      <c r="CB52" s="96"/>
      <c r="CC52" s="188"/>
      <c r="CD52" s="188"/>
      <c r="CE52" s="96"/>
      <c r="CF52" s="96"/>
      <c r="CG52" s="96"/>
      <c r="CH52" s="96"/>
      <c r="CI52" s="96"/>
      <c r="CJ52" s="96"/>
      <c r="CK52" s="112"/>
      <c r="CL52" s="112"/>
      <c r="CM52" s="112"/>
      <c r="CN52" s="112"/>
      <c r="CO52" s="119"/>
      <c r="CP52" s="119"/>
      <c r="CQ52" s="119"/>
      <c r="CR52" s="203"/>
      <c r="CS52" s="203"/>
      <c r="CT52" s="119"/>
      <c r="CU52" s="119"/>
      <c r="CV52" s="119"/>
      <c r="CW52" s="119"/>
      <c r="CX52" s="119"/>
      <c r="CY52" s="119"/>
      <c r="CZ52" s="119"/>
      <c r="DA52" s="119"/>
      <c r="DB52" s="119"/>
      <c r="DC52" s="119"/>
      <c r="DD52" s="119"/>
      <c r="DE52" s="112"/>
    </row>
    <row r="53" ht="49.5" customHeight="1">
      <c r="B53" s="366"/>
      <c r="C53" s="17" t="s">
        <v>248</v>
      </c>
      <c r="D53" s="38" t="s">
        <v>247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188"/>
      <c r="AS53" s="188"/>
      <c r="AT53" s="8"/>
      <c r="AU53" s="8"/>
      <c r="AV53" s="8"/>
      <c r="AW53" s="8"/>
      <c r="AX53" s="8"/>
      <c r="AY53" s="8"/>
      <c r="AZ53" s="8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111"/>
      <c r="BY53" s="8"/>
      <c r="BZ53" s="112"/>
      <c r="CA53" s="112"/>
      <c r="CB53" s="112"/>
      <c r="CC53" s="112"/>
      <c r="CD53" s="112"/>
      <c r="CE53" s="188"/>
      <c r="CF53" s="188"/>
      <c r="CG53" s="188"/>
      <c r="CH53" s="188"/>
      <c r="CI53" s="188"/>
      <c r="CJ53" s="188"/>
      <c r="CK53" s="96"/>
      <c r="CL53" s="96"/>
      <c r="CM53" s="96"/>
      <c r="CN53" s="96"/>
      <c r="CO53" s="119"/>
      <c r="CP53" s="119"/>
      <c r="CQ53" s="119"/>
      <c r="CR53" s="119"/>
      <c r="CS53" s="119"/>
      <c r="CT53" s="203"/>
      <c r="CU53" s="203"/>
      <c r="CV53" s="203"/>
      <c r="CW53" s="203"/>
      <c r="CX53" s="203"/>
      <c r="CY53" s="203"/>
      <c r="CZ53" s="119"/>
      <c r="DA53" s="119"/>
      <c r="DB53" s="119"/>
      <c r="DC53" s="119"/>
      <c r="DD53" s="119"/>
      <c r="DE53" s="96"/>
    </row>
    <row r="54" ht="30" customHeight="1">
      <c r="B54" s="366"/>
      <c r="C54" s="17" t="s">
        <v>249</v>
      </c>
      <c r="D54" s="38" t="s">
        <v>239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107"/>
      <c r="BY54" s="8"/>
      <c r="BZ54" s="112"/>
      <c r="CA54" s="112"/>
      <c r="CB54" s="112"/>
      <c r="CC54" s="112"/>
      <c r="CD54" s="112"/>
      <c r="CE54" s="96"/>
      <c r="CF54" s="8"/>
      <c r="CG54" s="96"/>
      <c r="CH54" s="96"/>
      <c r="CI54" s="96"/>
      <c r="CJ54" s="96"/>
      <c r="CK54" s="188"/>
      <c r="CL54" s="188"/>
      <c r="CM54" s="188"/>
      <c r="CN54" s="96"/>
      <c r="CO54" s="119"/>
      <c r="CP54" s="119"/>
      <c r="CQ54" s="119"/>
      <c r="CR54" s="119"/>
      <c r="CS54" s="119"/>
      <c r="CT54" s="119"/>
      <c r="CU54" s="46"/>
      <c r="CV54" s="119"/>
      <c r="CW54" s="119"/>
      <c r="CX54" s="119"/>
      <c r="CY54" s="119"/>
      <c r="CZ54" s="203"/>
      <c r="DA54" s="203"/>
      <c r="DB54" s="203"/>
      <c r="DC54" s="119"/>
      <c r="DD54" s="119"/>
      <c r="DE54" s="96"/>
    </row>
    <row r="55" ht="30" customHeight="1">
      <c r="B55" s="366"/>
      <c r="C55" s="38" t="s">
        <v>250</v>
      </c>
      <c r="D55" s="38" t="s">
        <v>239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107"/>
      <c r="BY55" s="8"/>
      <c r="BZ55" s="112"/>
      <c r="CA55" s="112"/>
      <c r="CB55" s="112"/>
      <c r="CC55" s="112"/>
      <c r="CD55" s="112"/>
      <c r="CE55" s="96"/>
      <c r="CF55" s="8"/>
      <c r="CG55" s="96"/>
      <c r="CH55" s="96"/>
      <c r="CI55" s="96"/>
      <c r="CJ55" s="96"/>
      <c r="CK55" s="96"/>
      <c r="CL55" s="96"/>
      <c r="CM55" s="96"/>
      <c r="CN55" s="188"/>
      <c r="CO55" s="119"/>
      <c r="CP55" s="119"/>
      <c r="CQ55" s="119"/>
      <c r="CR55" s="119"/>
      <c r="CS55" s="119"/>
      <c r="CT55" s="119"/>
      <c r="CU55" s="46"/>
      <c r="CV55" s="119"/>
      <c r="CW55" s="119"/>
      <c r="CX55" s="119"/>
      <c r="CY55" s="119"/>
      <c r="CZ55" s="119"/>
      <c r="DA55" s="119"/>
      <c r="DB55" s="119"/>
      <c r="DC55" s="203"/>
      <c r="DD55" s="119"/>
      <c r="DE55" s="119"/>
    </row>
  </sheetData>
  <mergeCells count="33">
    <mergeCell ref="BQ2:BT2"/>
    <mergeCell ref="BU2:BX2"/>
    <mergeCell ref="B2:C2"/>
    <mergeCell ref="BI2:BL2"/>
    <mergeCell ref="B36:B45"/>
    <mergeCell ref="BY2:CB2"/>
    <mergeCell ref="DA2:DD2"/>
    <mergeCell ref="Q2:T2"/>
    <mergeCell ref="AC2:AF2"/>
    <mergeCell ref="CW2:CZ2"/>
    <mergeCell ref="AK2:AN2"/>
    <mergeCell ref="BE2:BH2"/>
    <mergeCell ref="BA2:BD2"/>
    <mergeCell ref="BM2:BP2"/>
    <mergeCell ref="B46:B50"/>
    <mergeCell ref="AO2:AR2"/>
    <mergeCell ref="AG2:AJ2"/>
    <mergeCell ref="CC2:CF2"/>
    <mergeCell ref="CG2:CJ2"/>
    <mergeCell ref="Y2:AB2"/>
    <mergeCell ref="M2:P2"/>
    <mergeCell ref="CK2:CN2"/>
    <mergeCell ref="E2:H2"/>
    <mergeCell ref="AS2:AV2"/>
    <mergeCell ref="CO2:CR2"/>
    <mergeCell ref="CS2:CV2"/>
    <mergeCell ref="I2:L2"/>
    <mergeCell ref="B51:B55"/>
    <mergeCell ref="B4:B22"/>
    <mergeCell ref="AW2:AZ2"/>
    <mergeCell ref="U2:X2"/>
    <mergeCell ref="C1:BT1"/>
    <mergeCell ref="B3:C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09" width="2.4990234375" customWidth="1" style="118"/>
  </cols>
  <sheetData>
    <row r="1" ht="30" customHeight="1">
      <c r="C1" s="359" t="s">
        <v>171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DF1" s="118" t="s">
        <v>172</v>
      </c>
    </row>
    <row r="2" ht="30" customHeight="1">
      <c r="B2" s="361" t="s">
        <v>173</v>
      </c>
      <c r="C2" s="361"/>
      <c r="D2" s="224" t="s">
        <v>174</v>
      </c>
      <c r="E2" s="362" t="n">
        <v>8</v>
      </c>
      <c r="F2" s="363"/>
      <c r="G2" s="363"/>
      <c r="H2" s="363"/>
      <c r="I2" s="362" t="n">
        <v>9</v>
      </c>
      <c r="J2" s="363"/>
      <c r="K2" s="363"/>
      <c r="L2" s="363"/>
      <c r="M2" s="362" t="n">
        <v>10</v>
      </c>
      <c r="N2" s="363"/>
      <c r="O2" s="363"/>
      <c r="P2" s="363"/>
      <c r="Q2" s="362" t="n">
        <v>11</v>
      </c>
      <c r="R2" s="363"/>
      <c r="S2" s="363"/>
      <c r="T2" s="363"/>
      <c r="U2" s="362" t="n">
        <v>12</v>
      </c>
      <c r="V2" s="363"/>
      <c r="W2" s="363"/>
      <c r="X2" s="363"/>
      <c r="Y2" s="363" t="n">
        <v>1</v>
      </c>
      <c r="Z2" s="363"/>
      <c r="AA2" s="363"/>
      <c r="AB2" s="363"/>
      <c r="AC2" s="363" t="n">
        <v>2</v>
      </c>
      <c r="AD2" s="363"/>
      <c r="AE2" s="363"/>
      <c r="AF2" s="363"/>
      <c r="AG2" s="363" t="n">
        <v>3</v>
      </c>
      <c r="AH2" s="363"/>
      <c r="AI2" s="363"/>
      <c r="AJ2" s="363"/>
      <c r="AK2" s="363" t="n">
        <v>4</v>
      </c>
      <c r="AL2" s="363"/>
      <c r="AM2" s="363"/>
      <c r="AN2" s="363"/>
      <c r="AO2" s="363" t="n">
        <v>5</v>
      </c>
      <c r="AP2" s="363"/>
      <c r="AQ2" s="363"/>
      <c r="AR2" s="363"/>
      <c r="AS2" s="363" t="n">
        <v>6</v>
      </c>
      <c r="AT2" s="363"/>
      <c r="AU2" s="363"/>
      <c r="AV2" s="363"/>
      <c r="AW2" s="363" t="n">
        <v>7</v>
      </c>
      <c r="AX2" s="363"/>
      <c r="AY2" s="363"/>
      <c r="AZ2" s="363"/>
      <c r="BA2" s="363" t="n">
        <v>8</v>
      </c>
      <c r="BB2" s="363"/>
      <c r="BC2" s="363"/>
      <c r="BD2" s="363"/>
      <c r="BE2" s="363" t="n">
        <v>9</v>
      </c>
      <c r="BF2" s="363"/>
      <c r="BG2" s="363"/>
      <c r="BH2" s="363"/>
      <c r="BI2" s="363" t="n">
        <v>10</v>
      </c>
      <c r="BJ2" s="363"/>
      <c r="BK2" s="363"/>
      <c r="BL2" s="363"/>
      <c r="BM2" s="363" t="n">
        <v>11</v>
      </c>
      <c r="BN2" s="363"/>
      <c r="BO2" s="363"/>
      <c r="BP2" s="363"/>
      <c r="BQ2" s="363" t="n">
        <v>12</v>
      </c>
      <c r="BR2" s="363"/>
      <c r="BS2" s="363"/>
      <c r="BT2" s="363"/>
      <c r="BU2" s="363" t="n">
        <v>1</v>
      </c>
      <c r="BV2" s="363"/>
      <c r="BW2" s="363"/>
      <c r="BX2" s="363"/>
      <c r="BY2" s="364" t="n">
        <v>2</v>
      </c>
      <c r="BZ2" s="364"/>
      <c r="CA2" s="364"/>
      <c r="CB2" s="364"/>
      <c r="CC2" s="364" t="n">
        <v>3</v>
      </c>
      <c r="CD2" s="364"/>
      <c r="CE2" s="364"/>
      <c r="CF2" s="364"/>
      <c r="CG2" s="364" t="n">
        <v>4</v>
      </c>
      <c r="CH2" s="364"/>
      <c r="CI2" s="364"/>
      <c r="CJ2" s="364"/>
      <c r="CK2" s="364" t="n">
        <v>5</v>
      </c>
      <c r="CL2" s="364"/>
      <c r="CM2" s="364"/>
      <c r="CN2" s="364"/>
      <c r="CO2" s="364" t="n">
        <v>6</v>
      </c>
      <c r="CP2" s="364"/>
      <c r="CQ2" s="364"/>
      <c r="CR2" s="364"/>
      <c r="CS2" s="364" t="n">
        <v>7</v>
      </c>
      <c r="CT2" s="364"/>
      <c r="CU2" s="364"/>
      <c r="CV2" s="364"/>
      <c r="CW2" s="364" t="n">
        <v>8</v>
      </c>
      <c r="CX2" s="364"/>
      <c r="CY2" s="364"/>
      <c r="CZ2" s="364"/>
      <c r="DA2" s="364" t="n">
        <v>9</v>
      </c>
      <c r="DB2" s="364"/>
      <c r="DC2" s="364"/>
      <c r="DD2" s="364"/>
      <c r="DE2" s="213"/>
    </row>
    <row r="3" ht="30" customHeight="1">
      <c r="B3" s="361" t="s">
        <v>175</v>
      </c>
      <c r="C3" s="361"/>
      <c r="D3" s="224" t="s">
        <v>176</v>
      </c>
      <c r="E3" s="223" t="n">
        <v>1</v>
      </c>
      <c r="F3" s="220" t="n">
        <v>2</v>
      </c>
      <c r="G3" s="220" t="n">
        <v>3</v>
      </c>
      <c r="H3" s="220" t="n">
        <v>4</v>
      </c>
      <c r="I3" s="220" t="n">
        <v>1</v>
      </c>
      <c r="J3" s="220" t="n">
        <v>2</v>
      </c>
      <c r="K3" s="220" t="n">
        <v>3</v>
      </c>
      <c r="L3" s="220" t="n">
        <v>4</v>
      </c>
      <c r="M3" s="223" t="n">
        <v>1</v>
      </c>
      <c r="N3" s="220" t="n">
        <v>2</v>
      </c>
      <c r="O3" s="220" t="n">
        <v>3</v>
      </c>
      <c r="P3" s="220" t="n">
        <v>4</v>
      </c>
      <c r="Q3" s="220" t="n">
        <v>1</v>
      </c>
      <c r="R3" s="220" t="n">
        <v>2</v>
      </c>
      <c r="S3" s="220" t="n">
        <v>3</v>
      </c>
      <c r="T3" s="220" t="n">
        <v>4</v>
      </c>
      <c r="U3" s="223" t="n">
        <v>1</v>
      </c>
      <c r="V3" s="220" t="n">
        <v>2</v>
      </c>
      <c r="W3" s="220" t="n">
        <v>3</v>
      </c>
      <c r="X3" s="220" t="n">
        <v>4</v>
      </c>
      <c r="Y3" s="220" t="n">
        <v>1</v>
      </c>
      <c r="Z3" s="220" t="n">
        <v>2</v>
      </c>
      <c r="AA3" s="220" t="n">
        <v>3</v>
      </c>
      <c r="AB3" s="220" t="n">
        <v>4</v>
      </c>
      <c r="AC3" s="223" t="n">
        <v>1</v>
      </c>
      <c r="AD3" s="220" t="n">
        <v>2</v>
      </c>
      <c r="AE3" s="220" t="n">
        <v>3</v>
      </c>
      <c r="AF3" s="220" t="n">
        <v>4</v>
      </c>
      <c r="AG3" s="220" t="n">
        <v>1</v>
      </c>
      <c r="AH3" s="220" t="n">
        <v>2</v>
      </c>
      <c r="AI3" s="220" t="n">
        <v>3</v>
      </c>
      <c r="AJ3" s="220" t="n">
        <v>4</v>
      </c>
      <c r="AK3" s="223" t="n">
        <v>1</v>
      </c>
      <c r="AL3" s="220" t="n">
        <v>2</v>
      </c>
      <c r="AM3" s="220" t="n">
        <v>3</v>
      </c>
      <c r="AN3" s="220" t="n">
        <v>4</v>
      </c>
      <c r="AO3" s="220" t="n">
        <v>1</v>
      </c>
      <c r="AP3" s="220" t="n">
        <v>2</v>
      </c>
      <c r="AQ3" s="220" t="n">
        <v>3</v>
      </c>
      <c r="AR3" s="220" t="n">
        <v>4</v>
      </c>
      <c r="AS3" s="223" t="n">
        <v>1</v>
      </c>
      <c r="AT3" s="220" t="n">
        <v>2</v>
      </c>
      <c r="AU3" s="220" t="n">
        <v>3</v>
      </c>
      <c r="AV3" s="220" t="n">
        <v>4</v>
      </c>
      <c r="AW3" s="220" t="n">
        <v>1</v>
      </c>
      <c r="AX3" s="220" t="n">
        <v>2</v>
      </c>
      <c r="AY3" s="220" t="n">
        <v>3</v>
      </c>
      <c r="AZ3" s="220" t="n">
        <v>4</v>
      </c>
      <c r="BA3" s="223" t="n">
        <v>1</v>
      </c>
      <c r="BB3" s="220" t="n">
        <v>2</v>
      </c>
      <c r="BC3" s="220" t="n">
        <v>3</v>
      </c>
      <c r="BD3" s="220" t="n">
        <v>4</v>
      </c>
      <c r="BE3" s="220" t="n">
        <v>1</v>
      </c>
      <c r="BF3" s="220" t="n">
        <v>2</v>
      </c>
      <c r="BG3" s="220" t="n">
        <v>3</v>
      </c>
      <c r="BH3" s="220" t="n">
        <v>4</v>
      </c>
      <c r="BI3" s="223" t="n">
        <v>1</v>
      </c>
      <c r="BJ3" s="220" t="n">
        <v>2</v>
      </c>
      <c r="BK3" s="220" t="n">
        <v>3</v>
      </c>
      <c r="BL3" s="220" t="n">
        <v>4</v>
      </c>
      <c r="BM3" s="220" t="n">
        <v>1</v>
      </c>
      <c r="BN3" s="220" t="n">
        <v>2</v>
      </c>
      <c r="BO3" s="220" t="n">
        <v>3</v>
      </c>
      <c r="BP3" s="220" t="n">
        <v>4</v>
      </c>
      <c r="BQ3" s="221" t="n">
        <v>1</v>
      </c>
      <c r="BR3" s="221" t="n">
        <v>2</v>
      </c>
      <c r="BS3" s="221" t="n">
        <v>3</v>
      </c>
      <c r="BT3" s="221" t="n">
        <v>4</v>
      </c>
      <c r="BU3" s="221" t="n">
        <v>1</v>
      </c>
      <c r="BV3" s="221" t="n">
        <v>2</v>
      </c>
      <c r="BW3" s="221" t="n">
        <v>3</v>
      </c>
      <c r="BX3" s="217" t="n">
        <v>4</v>
      </c>
      <c r="BY3" s="220" t="n">
        <v>1</v>
      </c>
      <c r="BZ3" s="221" t="n">
        <v>2</v>
      </c>
      <c r="CA3" s="221" t="n">
        <v>3</v>
      </c>
      <c r="CB3" s="221" t="n">
        <v>4</v>
      </c>
      <c r="CC3" s="221" t="n">
        <v>1</v>
      </c>
      <c r="CD3" s="221" t="n">
        <v>2</v>
      </c>
      <c r="CE3" s="221" t="n">
        <v>3</v>
      </c>
      <c r="CF3" s="221" t="n">
        <v>4</v>
      </c>
      <c r="CG3" s="221" t="n">
        <v>1</v>
      </c>
      <c r="CH3" s="221" t="n">
        <v>2</v>
      </c>
      <c r="CI3" s="221" t="n">
        <v>3</v>
      </c>
      <c r="CJ3" s="221" t="n">
        <v>4</v>
      </c>
      <c r="CK3" s="221" t="n">
        <v>1</v>
      </c>
      <c r="CL3" s="221" t="n">
        <v>2</v>
      </c>
      <c r="CM3" s="221" t="n">
        <v>3</v>
      </c>
      <c r="CN3" s="221" t="n">
        <v>4</v>
      </c>
      <c r="CO3" s="221" t="n">
        <v>1</v>
      </c>
      <c r="CP3" s="221" t="n">
        <v>2</v>
      </c>
      <c r="CQ3" s="221" t="n">
        <v>3</v>
      </c>
      <c r="CR3" s="221" t="n">
        <v>4</v>
      </c>
      <c r="CS3" s="221" t="n">
        <v>1</v>
      </c>
      <c r="CT3" s="221" t="n">
        <v>2</v>
      </c>
      <c r="CU3" s="221" t="n">
        <v>3</v>
      </c>
      <c r="CV3" s="221" t="n">
        <v>4</v>
      </c>
      <c r="CW3" s="221" t="n">
        <v>1</v>
      </c>
      <c r="CX3" s="221" t="n">
        <v>2</v>
      </c>
      <c r="CY3" s="221" t="n">
        <v>3</v>
      </c>
      <c r="CZ3" s="221" t="n">
        <v>4</v>
      </c>
      <c r="DA3" s="221" t="n">
        <v>1</v>
      </c>
      <c r="DB3" s="221" t="n">
        <v>2</v>
      </c>
      <c r="DC3" s="221" t="n">
        <v>3</v>
      </c>
      <c r="DD3" s="221" t="n">
        <v>4</v>
      </c>
      <c r="DE3" s="221" t="n">
        <v>1</v>
      </c>
    </row>
    <row r="4" ht="30" customHeight="1">
      <c r="B4" s="367" t="s">
        <v>177</v>
      </c>
      <c r="C4" s="7" t="s">
        <v>178</v>
      </c>
      <c r="D4" s="46" t="s">
        <v>179</v>
      </c>
      <c r="E4" s="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86"/>
      <c r="R4" s="86"/>
      <c r="S4" s="86"/>
      <c r="T4" s="86"/>
      <c r="U4" s="86"/>
      <c r="V4" s="86"/>
      <c r="W4" s="207"/>
      <c r="X4" s="50"/>
      <c r="Y4" s="50"/>
      <c r="Z4" s="207"/>
      <c r="AA4" s="207"/>
      <c r="AB4" s="474" t="s">
        <v>180</v>
      </c>
      <c r="AC4" s="207"/>
      <c r="AD4" s="207"/>
      <c r="AE4" s="50"/>
      <c r="AF4" s="50"/>
      <c r="AG4" s="50"/>
      <c r="AH4" s="50"/>
      <c r="AI4" s="50"/>
      <c r="AJ4" s="50"/>
      <c r="AK4" s="50"/>
      <c r="AL4" s="50"/>
      <c r="AM4" s="57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89"/>
      <c r="BB4" s="89"/>
      <c r="BC4" s="89"/>
      <c r="BD4" s="8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0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5"/>
    </row>
    <row r="5" ht="30" customHeight="1">
      <c r="B5" s="367"/>
      <c r="C5" s="193" t="s">
        <v>181</v>
      </c>
      <c r="D5" s="199" t="s">
        <v>182</v>
      </c>
      <c r="E5" s="9"/>
      <c r="F5" s="50"/>
      <c r="G5" s="50"/>
      <c r="H5" s="50"/>
      <c r="I5" s="50"/>
      <c r="J5" s="50"/>
      <c r="K5" s="50"/>
      <c r="L5" s="50"/>
      <c r="M5" s="86"/>
      <c r="N5" s="86"/>
      <c r="O5" s="86"/>
      <c r="P5" s="80"/>
      <c r="Q5" s="86"/>
      <c r="R5" s="86"/>
      <c r="S5" s="86"/>
      <c r="T5" s="86"/>
      <c r="U5" s="70"/>
      <c r="V5" s="86"/>
      <c r="W5" s="86"/>
      <c r="X5" s="86"/>
      <c r="Y5" s="86"/>
      <c r="Z5" s="86"/>
      <c r="AA5" s="86"/>
      <c r="AB5" s="86"/>
      <c r="AC5" s="86"/>
      <c r="AD5" s="86"/>
      <c r="AE5" s="86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203"/>
      <c r="AU5" s="203"/>
      <c r="AV5" s="203"/>
      <c r="AW5" s="206"/>
      <c r="AX5" s="50"/>
      <c r="AY5" s="50"/>
      <c r="AZ5" s="50"/>
      <c r="BA5" s="89"/>
      <c r="BB5" s="89"/>
      <c r="BC5" s="89"/>
      <c r="BD5" s="8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0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5"/>
    </row>
    <row r="6" ht="16.5" customHeight="1">
      <c r="B6" s="367"/>
      <c r="C6" s="208" t="s">
        <v>183</v>
      </c>
      <c r="D6" s="200" t="s">
        <v>184</v>
      </c>
      <c r="E6" s="9"/>
      <c r="F6" s="50"/>
      <c r="G6" s="50"/>
      <c r="H6" s="50"/>
      <c r="I6" s="50"/>
      <c r="J6" s="50"/>
      <c r="K6" s="50"/>
      <c r="L6" s="50"/>
      <c r="M6" s="86"/>
      <c r="N6" s="86"/>
      <c r="O6" s="86"/>
      <c r="P6" s="80"/>
      <c r="Q6" s="86"/>
      <c r="R6" s="86"/>
      <c r="S6" s="86"/>
      <c r="T6" s="86"/>
      <c r="U6" s="70"/>
      <c r="V6" s="86"/>
      <c r="W6" s="86"/>
      <c r="X6" s="86"/>
      <c r="Y6" s="86"/>
      <c r="Z6" s="86"/>
      <c r="AA6" s="86"/>
      <c r="AB6" s="86"/>
      <c r="AC6" s="86"/>
      <c r="AD6" s="86"/>
      <c r="AE6" s="86"/>
      <c r="AF6" s="50"/>
      <c r="AG6" s="50"/>
      <c r="AH6" s="50"/>
      <c r="AI6" s="50"/>
      <c r="AJ6" s="50"/>
      <c r="AK6" s="50"/>
      <c r="AL6" s="50"/>
      <c r="AM6" s="57"/>
      <c r="AN6" s="50"/>
      <c r="AO6" s="50"/>
      <c r="AP6" s="206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89"/>
      <c r="BB6" s="89"/>
      <c r="BC6" s="89"/>
      <c r="BD6" s="8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0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5"/>
    </row>
    <row r="7" ht="30" customHeight="1">
      <c r="B7" s="367"/>
      <c r="C7" s="209" t="s">
        <v>185</v>
      </c>
      <c r="D7" s="204" t="s">
        <v>184</v>
      </c>
      <c r="E7" s="19"/>
      <c r="F7" s="46"/>
      <c r="G7" s="50"/>
      <c r="H7" s="50"/>
      <c r="I7" s="50"/>
      <c r="J7" s="50"/>
      <c r="K7" s="50"/>
      <c r="L7" s="50"/>
      <c r="M7" s="86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226" t="s">
        <v>185</v>
      </c>
      <c r="BB7" s="226"/>
      <c r="BC7" s="89"/>
      <c r="BD7" s="8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0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</row>
    <row r="8" ht="30" customHeight="1">
      <c r="B8" s="367"/>
      <c r="C8" s="209" t="s">
        <v>186</v>
      </c>
      <c r="D8" s="204" t="s">
        <v>182</v>
      </c>
      <c r="E8" s="19"/>
      <c r="F8" s="46"/>
      <c r="G8" s="50"/>
      <c r="H8" s="50"/>
      <c r="I8" s="50"/>
      <c r="J8" s="50"/>
      <c r="K8" s="50"/>
      <c r="L8" s="50"/>
      <c r="M8" s="86"/>
      <c r="N8" s="86"/>
      <c r="O8" s="189"/>
      <c r="P8" s="190"/>
      <c r="Q8" s="189"/>
      <c r="R8" s="189"/>
      <c r="S8" s="50"/>
      <c r="T8" s="50"/>
      <c r="U8" s="9"/>
      <c r="V8" s="50"/>
      <c r="W8" s="50"/>
      <c r="X8" s="46"/>
      <c r="Y8" s="46"/>
      <c r="Z8" s="207"/>
      <c r="AA8" s="207"/>
      <c r="AB8" s="46"/>
      <c r="AC8" s="50"/>
      <c r="AD8" s="207"/>
      <c r="AE8" s="46"/>
      <c r="AF8" s="50"/>
      <c r="AG8" s="50"/>
      <c r="AH8" s="50"/>
      <c r="AI8" s="50"/>
      <c r="AJ8" s="50"/>
      <c r="AK8" s="50"/>
      <c r="AL8" s="203"/>
      <c r="AM8" s="196"/>
      <c r="AN8" s="196"/>
      <c r="AO8" s="196"/>
      <c r="AP8" s="196"/>
      <c r="AQ8" s="196"/>
      <c r="AR8" s="196"/>
      <c r="AS8" s="50"/>
      <c r="AT8" s="206"/>
      <c r="AU8" s="50"/>
      <c r="AV8" s="50"/>
      <c r="AW8" s="50"/>
      <c r="AX8" s="50"/>
      <c r="AY8" s="50"/>
      <c r="AZ8" s="50"/>
      <c r="BA8" s="89"/>
      <c r="BB8" s="89"/>
      <c r="BC8" s="89"/>
      <c r="BD8" s="8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0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</row>
    <row r="9" ht="30" customHeight="1">
      <c r="B9" s="367"/>
      <c r="C9" s="208" t="s">
        <v>187</v>
      </c>
      <c r="D9" s="103" t="s">
        <v>182</v>
      </c>
      <c r="E9" s="9"/>
      <c r="F9" s="50"/>
      <c r="G9" s="50"/>
      <c r="H9" s="50"/>
      <c r="I9" s="50"/>
      <c r="J9" s="50"/>
      <c r="K9" s="50"/>
      <c r="L9" s="50"/>
      <c r="M9" s="86"/>
      <c r="N9" s="86"/>
      <c r="O9" s="86"/>
      <c r="P9" s="80"/>
      <c r="Q9" s="86"/>
      <c r="R9" s="86"/>
      <c r="S9" s="86"/>
      <c r="T9" s="86"/>
      <c r="U9" s="70"/>
      <c r="V9" s="86"/>
      <c r="W9" s="86"/>
      <c r="X9" s="86"/>
      <c r="Y9" s="86"/>
      <c r="Z9" s="86"/>
      <c r="AA9" s="86"/>
      <c r="AB9" s="86"/>
      <c r="AC9" s="86"/>
      <c r="AD9" s="86"/>
      <c r="AE9" s="86"/>
      <c r="AF9" s="50"/>
      <c r="AG9" s="50"/>
      <c r="AH9" s="50"/>
      <c r="AI9" s="50"/>
      <c r="AJ9" s="50"/>
      <c r="AK9" s="50"/>
      <c r="AL9" s="50"/>
      <c r="AM9" s="50"/>
      <c r="AN9" s="50"/>
      <c r="AO9" s="196"/>
      <c r="AP9" s="196"/>
      <c r="AQ9" s="196"/>
      <c r="AR9" s="196"/>
      <c r="AS9" s="50"/>
      <c r="AT9" s="50"/>
      <c r="AU9" s="207"/>
      <c r="AV9" s="50"/>
      <c r="AW9" s="206"/>
      <c r="AX9" s="50"/>
      <c r="AY9" s="50"/>
      <c r="AZ9" s="50"/>
      <c r="BA9" s="89"/>
      <c r="BB9" s="89"/>
      <c r="BC9" s="89"/>
      <c r="BD9" s="8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0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5"/>
    </row>
    <row r="10" ht="30" customHeight="1">
      <c r="B10" s="367"/>
      <c r="C10" s="209" t="s">
        <v>188</v>
      </c>
      <c r="D10" s="201" t="s">
        <v>182</v>
      </c>
      <c r="E10" s="19"/>
      <c r="F10" s="46"/>
      <c r="G10" s="50"/>
      <c r="H10" s="50"/>
      <c r="I10" s="50"/>
      <c r="J10" s="50"/>
      <c r="K10" s="50"/>
      <c r="L10" s="57"/>
      <c r="M10" s="50"/>
      <c r="N10" s="50"/>
      <c r="O10" s="189"/>
      <c r="P10" s="190"/>
      <c r="Q10" s="189"/>
      <c r="R10" s="189"/>
      <c r="S10" s="50"/>
      <c r="T10" s="50"/>
      <c r="U10" s="50"/>
      <c r="V10" s="46"/>
      <c r="W10" s="207"/>
      <c r="X10" s="207"/>
      <c r="Y10" s="207"/>
      <c r="Z10" s="207"/>
      <c r="AA10" s="207"/>
      <c r="AB10" s="207"/>
      <c r="AC10" s="207"/>
      <c r="AD10" s="207"/>
      <c r="AE10" s="46"/>
      <c r="AF10" s="50"/>
      <c r="AG10" s="50"/>
      <c r="AH10" s="50"/>
      <c r="AI10" s="50"/>
      <c r="AJ10" s="50"/>
      <c r="AK10" s="50"/>
      <c r="AL10" s="50"/>
      <c r="AM10" s="50"/>
      <c r="AN10" s="50"/>
      <c r="AO10" s="196"/>
      <c r="AP10" s="196"/>
      <c r="AQ10" s="196"/>
      <c r="AR10" s="196"/>
      <c r="AS10" s="50"/>
      <c r="AT10" s="206"/>
      <c r="AU10" s="50"/>
      <c r="AV10" s="50"/>
      <c r="AW10" s="50"/>
      <c r="AX10" s="50"/>
      <c r="AY10" s="50"/>
      <c r="AZ10" s="50"/>
      <c r="BA10" s="89"/>
      <c r="BB10" s="89"/>
      <c r="BC10" s="89"/>
      <c r="BD10" s="8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0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</row>
    <row r="11" ht="28.5" customHeight="1">
      <c r="B11" s="367"/>
      <c r="C11" s="208" t="s">
        <v>189</v>
      </c>
      <c r="D11" s="200" t="s">
        <v>182</v>
      </c>
      <c r="E11" s="9"/>
      <c r="F11" s="50"/>
      <c r="G11" s="50"/>
      <c r="H11" s="50"/>
      <c r="I11" s="50"/>
      <c r="J11" s="50"/>
      <c r="K11" s="50"/>
      <c r="L11" s="50"/>
      <c r="M11" s="86"/>
      <c r="N11" s="86"/>
      <c r="O11" s="86"/>
      <c r="P11" s="80"/>
      <c r="Q11" s="86"/>
      <c r="R11" s="86"/>
      <c r="S11" s="86"/>
      <c r="T11" s="86"/>
      <c r="U11" s="70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50"/>
      <c r="AG11" s="50"/>
      <c r="AH11" s="50"/>
      <c r="AI11" s="50"/>
      <c r="AJ11" s="50"/>
      <c r="AK11" s="50"/>
      <c r="AL11" s="50"/>
      <c r="AM11" s="50"/>
      <c r="AN11" s="50"/>
      <c r="AO11" s="196"/>
      <c r="AP11" s="50"/>
      <c r="AQ11" s="50"/>
      <c r="AR11" s="196"/>
      <c r="AS11" s="198"/>
      <c r="AT11" s="50"/>
      <c r="AU11" s="207"/>
      <c r="AV11" s="50"/>
      <c r="AW11" s="206"/>
      <c r="AX11" s="50"/>
      <c r="AY11" s="50"/>
      <c r="AZ11" s="50"/>
      <c r="BA11" s="89"/>
      <c r="BB11" s="89"/>
      <c r="BC11" s="89"/>
      <c r="BD11" s="8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0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5"/>
    </row>
    <row r="12" ht="16.5" customHeight="1">
      <c r="B12" s="367"/>
      <c r="C12" s="193" t="s">
        <v>190</v>
      </c>
      <c r="D12" s="200" t="s">
        <v>182</v>
      </c>
      <c r="E12" s="9"/>
      <c r="F12" s="50"/>
      <c r="G12" s="50"/>
      <c r="H12" s="50"/>
      <c r="I12" s="50"/>
      <c r="J12" s="50"/>
      <c r="K12" s="50"/>
      <c r="L12" s="50"/>
      <c r="M12" s="86"/>
      <c r="N12" s="86"/>
      <c r="O12" s="86"/>
      <c r="P12" s="80"/>
      <c r="Q12" s="86"/>
      <c r="R12" s="86"/>
      <c r="S12" s="86"/>
      <c r="T12" s="86"/>
      <c r="U12" s="70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50"/>
      <c r="AG12" s="50"/>
      <c r="AH12" s="50"/>
      <c r="AI12" s="50"/>
      <c r="AJ12" s="50"/>
      <c r="AK12" s="50"/>
      <c r="AL12" s="50"/>
      <c r="AM12" s="50"/>
      <c r="AN12" s="50"/>
      <c r="AO12" s="196"/>
      <c r="AP12" s="50"/>
      <c r="AQ12" s="50"/>
      <c r="AR12" s="196"/>
      <c r="AS12" s="198"/>
      <c r="AT12" s="50"/>
      <c r="AU12" s="50"/>
      <c r="AV12" s="206"/>
      <c r="AW12" s="50"/>
      <c r="AX12" s="50"/>
      <c r="AY12" s="50"/>
      <c r="AZ12" s="50"/>
      <c r="BA12" s="89"/>
      <c r="BB12" s="89"/>
      <c r="BC12" s="89"/>
      <c r="BD12" s="8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0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5"/>
    </row>
    <row r="13" ht="30" customHeight="1">
      <c r="B13" s="367"/>
      <c r="C13" s="193" t="s">
        <v>191</v>
      </c>
      <c r="D13" s="200" t="s">
        <v>182</v>
      </c>
      <c r="E13" s="9"/>
      <c r="F13" s="50"/>
      <c r="G13" s="50"/>
      <c r="H13" s="50"/>
      <c r="I13" s="50"/>
      <c r="J13" s="50"/>
      <c r="K13" s="50"/>
      <c r="L13" s="50"/>
      <c r="M13" s="86"/>
      <c r="N13" s="86"/>
      <c r="O13" s="86"/>
      <c r="P13" s="80"/>
      <c r="Q13" s="86"/>
      <c r="R13" s="86"/>
      <c r="S13" s="86"/>
      <c r="T13" s="86"/>
      <c r="U13" s="70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50"/>
      <c r="AG13" s="50"/>
      <c r="AH13" s="50"/>
      <c r="AI13" s="50"/>
      <c r="AJ13" s="206"/>
      <c r="AK13" s="50"/>
      <c r="AL13" s="50"/>
      <c r="AM13" s="57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89"/>
      <c r="BB13" s="89"/>
      <c r="BC13" s="89"/>
      <c r="BD13" s="8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0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5"/>
    </row>
    <row r="14" ht="16.5" customHeight="1">
      <c r="B14" s="367"/>
      <c r="C14" s="208" t="s">
        <v>192</v>
      </c>
      <c r="D14" s="200" t="s">
        <v>182</v>
      </c>
      <c r="E14" s="9"/>
      <c r="F14" s="50"/>
      <c r="G14" s="50"/>
      <c r="H14" s="50"/>
      <c r="I14" s="50"/>
      <c r="J14" s="50"/>
      <c r="K14" s="50"/>
      <c r="L14" s="50"/>
      <c r="M14" s="86"/>
      <c r="N14" s="86"/>
      <c r="O14" s="86"/>
      <c r="P14" s="80"/>
      <c r="Q14" s="86"/>
      <c r="R14" s="86"/>
      <c r="S14" s="86"/>
      <c r="T14" s="86"/>
      <c r="U14" s="70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196"/>
      <c r="AS14" s="196"/>
      <c r="AT14" s="196"/>
      <c r="AU14" s="50"/>
      <c r="AV14" s="207"/>
      <c r="AW14" s="206"/>
      <c r="AX14" s="50"/>
      <c r="AY14" s="50"/>
      <c r="AZ14" s="50"/>
      <c r="BA14" s="89"/>
      <c r="BB14" s="89"/>
      <c r="BC14" s="89"/>
      <c r="BD14" s="8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0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5"/>
    </row>
    <row r="15" ht="30" customHeight="1">
      <c r="B15" s="367"/>
      <c r="C15" s="208" t="s">
        <v>193</v>
      </c>
      <c r="D15" s="200" t="s">
        <v>182</v>
      </c>
      <c r="E15" s="9"/>
      <c r="F15" s="50"/>
      <c r="G15" s="50"/>
      <c r="H15" s="50"/>
      <c r="I15" s="50"/>
      <c r="J15" s="50"/>
      <c r="K15" s="50"/>
      <c r="L15" s="50"/>
      <c r="M15" s="86"/>
      <c r="N15" s="86"/>
      <c r="O15" s="86"/>
      <c r="P15" s="80"/>
      <c r="Q15" s="86"/>
      <c r="R15" s="86"/>
      <c r="S15" s="86"/>
      <c r="T15" s="86"/>
      <c r="U15" s="70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196"/>
      <c r="AS15" s="196"/>
      <c r="AT15" s="196"/>
      <c r="AU15" s="50"/>
      <c r="AV15" s="206"/>
      <c r="AW15" s="50"/>
      <c r="AX15" s="50"/>
      <c r="AY15" s="50"/>
      <c r="AZ15" s="50"/>
      <c r="BA15" s="89"/>
      <c r="BB15" s="89"/>
      <c r="BC15" s="89"/>
      <c r="BD15" s="8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0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5"/>
    </row>
    <row r="16" ht="16.5" customHeight="1">
      <c r="B16" s="367"/>
      <c r="C16" s="208" t="s">
        <v>194</v>
      </c>
      <c r="D16" s="200" t="s">
        <v>182</v>
      </c>
      <c r="E16" s="9"/>
      <c r="F16" s="50"/>
      <c r="G16" s="50"/>
      <c r="H16" s="50"/>
      <c r="I16" s="50"/>
      <c r="J16" s="50"/>
      <c r="K16" s="50"/>
      <c r="L16" s="50"/>
      <c r="M16" s="57"/>
      <c r="N16" s="86"/>
      <c r="O16" s="86"/>
      <c r="P16" s="80"/>
      <c r="Q16" s="86"/>
      <c r="R16" s="86"/>
      <c r="S16" s="86"/>
      <c r="T16" s="86"/>
      <c r="U16" s="70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50"/>
      <c r="AG16" s="50"/>
      <c r="AH16" s="50"/>
      <c r="AI16" s="50"/>
      <c r="AJ16" s="50"/>
      <c r="AK16" s="50"/>
      <c r="AL16" s="50"/>
      <c r="AM16" s="50"/>
      <c r="AN16" s="196"/>
      <c r="AO16" s="196"/>
      <c r="AP16" s="196"/>
      <c r="AQ16" s="50"/>
      <c r="AR16" s="198"/>
      <c r="AS16" s="198"/>
      <c r="AT16" s="50"/>
      <c r="AU16" s="207"/>
      <c r="AV16" s="206"/>
      <c r="AW16" s="50"/>
      <c r="AX16" s="50"/>
      <c r="AY16" s="50"/>
      <c r="AZ16" s="50"/>
      <c r="BA16" s="89"/>
      <c r="BB16" s="89"/>
      <c r="BC16" s="89"/>
      <c r="BD16" s="8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0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5"/>
    </row>
    <row r="17" ht="30" customHeight="1">
      <c r="B17" s="367"/>
      <c r="C17" s="209" t="s">
        <v>195</v>
      </c>
      <c r="D17" s="202" t="s">
        <v>182</v>
      </c>
      <c r="E17" s="19"/>
      <c r="F17" s="46"/>
      <c r="G17" s="50"/>
      <c r="H17" s="50"/>
      <c r="I17" s="50"/>
      <c r="J17" s="50"/>
      <c r="K17" s="50"/>
      <c r="L17" s="50"/>
      <c r="M17" s="33"/>
      <c r="N17" s="50"/>
      <c r="O17" s="207"/>
      <c r="P17" s="207"/>
      <c r="Q17" s="207"/>
      <c r="R17" s="207"/>
      <c r="S17" s="70"/>
      <c r="T17" s="86"/>
      <c r="U17" s="70"/>
      <c r="V17" s="86"/>
      <c r="W17" s="86"/>
      <c r="X17" s="50"/>
      <c r="Y17" s="50"/>
      <c r="Z17" s="50"/>
      <c r="AA17" s="207"/>
      <c r="AB17" s="207"/>
      <c r="AC17" s="207"/>
      <c r="AD17" s="207"/>
      <c r="AE17" s="50"/>
      <c r="AF17" s="50"/>
      <c r="AG17" s="50"/>
      <c r="AH17" s="50"/>
      <c r="AI17" s="50"/>
      <c r="AJ17" s="50"/>
      <c r="AK17" s="50"/>
      <c r="AL17" s="50"/>
      <c r="AM17" s="57"/>
      <c r="AN17" s="57"/>
      <c r="AO17" s="50"/>
      <c r="AP17" s="50"/>
      <c r="AQ17" s="50"/>
      <c r="AR17" s="50"/>
      <c r="AS17" s="203"/>
      <c r="AT17" s="203"/>
      <c r="AU17" s="50"/>
      <c r="AV17" s="50"/>
      <c r="AW17" s="206"/>
      <c r="AX17" s="50"/>
      <c r="AY17" s="50"/>
      <c r="AZ17" s="50"/>
      <c r="BA17" s="89"/>
      <c r="BB17" s="89"/>
      <c r="BC17" s="89"/>
      <c r="BD17" s="8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0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</row>
    <row r="18" ht="30" customHeight="1">
      <c r="B18" s="367"/>
      <c r="C18" s="184" t="s">
        <v>196</v>
      </c>
      <c r="D18" s="219" t="s">
        <v>197</v>
      </c>
      <c r="E18" s="19"/>
      <c r="F18" s="46"/>
      <c r="G18" s="50"/>
      <c r="H18" s="50"/>
      <c r="I18" s="50"/>
      <c r="J18" s="50"/>
      <c r="K18" s="50"/>
      <c r="L18" s="50"/>
      <c r="M18" s="57"/>
      <c r="N18" s="50"/>
      <c r="O18" s="207"/>
      <c r="P18" s="207"/>
      <c r="Q18" s="207"/>
      <c r="R18" s="207"/>
      <c r="S18" s="70"/>
      <c r="T18" s="86"/>
      <c r="U18" s="70"/>
      <c r="V18" s="86"/>
      <c r="W18" s="86"/>
      <c r="X18" s="50"/>
      <c r="Y18" s="50"/>
      <c r="Z18" s="50"/>
      <c r="AA18" s="207"/>
      <c r="AB18" s="50"/>
      <c r="AC18" s="50"/>
      <c r="AD18" s="207"/>
      <c r="AE18" s="50"/>
      <c r="AF18" s="50"/>
      <c r="AG18" s="50"/>
      <c r="AH18" s="50"/>
      <c r="AI18" s="50"/>
      <c r="AJ18" s="50"/>
      <c r="AK18" s="50"/>
      <c r="AL18" s="50"/>
      <c r="AM18" s="57"/>
      <c r="AN18" s="57"/>
      <c r="AO18" s="50"/>
      <c r="AP18" s="50"/>
      <c r="AQ18" s="50"/>
      <c r="AR18" s="50"/>
      <c r="AS18" s="203"/>
      <c r="AT18" s="203"/>
      <c r="AU18" s="50"/>
      <c r="AV18" s="50"/>
      <c r="AW18" s="206"/>
      <c r="AX18" s="50"/>
      <c r="AY18" s="50"/>
      <c r="AZ18" s="50"/>
      <c r="BA18" s="89"/>
      <c r="BB18" s="89"/>
      <c r="BC18" s="89"/>
      <c r="BD18" s="8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0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</row>
    <row r="19" ht="30" customHeight="1">
      <c r="B19" s="367"/>
      <c r="C19" s="209" t="s">
        <v>198</v>
      </c>
      <c r="D19" s="219" t="s">
        <v>197</v>
      </c>
      <c r="E19" s="19"/>
      <c r="F19" s="46"/>
      <c r="G19" s="50"/>
      <c r="H19" s="50"/>
      <c r="I19" s="50"/>
      <c r="J19" s="50"/>
      <c r="K19" s="50"/>
      <c r="L19" s="50"/>
      <c r="M19" s="57"/>
      <c r="N19" s="50"/>
      <c r="O19" s="46"/>
      <c r="P19" s="46"/>
      <c r="Q19" s="46"/>
      <c r="R19" s="46"/>
      <c r="S19" s="70"/>
      <c r="T19" s="86"/>
      <c r="U19" s="70"/>
      <c r="V19" s="86"/>
      <c r="W19" s="86"/>
      <c r="X19" s="86"/>
      <c r="Y19" s="50"/>
      <c r="Z19" s="207"/>
      <c r="AA19" s="207"/>
      <c r="AB19" s="50"/>
      <c r="AC19" s="207"/>
      <c r="AD19" s="207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196"/>
      <c r="AP19" s="196"/>
      <c r="AQ19" s="50"/>
      <c r="AR19" s="50"/>
      <c r="AS19" s="50"/>
      <c r="AT19" s="206"/>
      <c r="AU19" s="50"/>
      <c r="AV19" s="50"/>
      <c r="AW19" s="50"/>
      <c r="AX19" s="50"/>
      <c r="AY19" s="50"/>
      <c r="AZ19" s="50"/>
      <c r="BA19" s="89"/>
      <c r="BB19" s="89"/>
      <c r="BC19" s="89"/>
      <c r="BD19" s="8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0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</row>
    <row r="20" ht="30" customHeight="1">
      <c r="B20" s="367"/>
      <c r="C20" s="184" t="s">
        <v>199</v>
      </c>
      <c r="D20" s="219" t="s">
        <v>197</v>
      </c>
      <c r="E20" s="19"/>
      <c r="F20" s="46"/>
      <c r="G20" s="50"/>
      <c r="H20" s="50"/>
      <c r="I20" s="50"/>
      <c r="J20" s="50"/>
      <c r="K20" s="50"/>
      <c r="L20" s="50"/>
      <c r="M20" s="57"/>
      <c r="N20" s="50"/>
      <c r="O20" s="46"/>
      <c r="P20" s="46"/>
      <c r="Q20" s="46"/>
      <c r="R20" s="46"/>
      <c r="S20" s="70"/>
      <c r="T20" s="50"/>
      <c r="U20" s="50"/>
      <c r="V20" s="50"/>
      <c r="W20" s="50"/>
      <c r="X20" s="50"/>
      <c r="Y20" s="50"/>
      <c r="Z20" s="207"/>
      <c r="AA20" s="207"/>
      <c r="AB20" s="207"/>
      <c r="AC20" s="50"/>
      <c r="AD20" s="207"/>
      <c r="AE20" s="50"/>
      <c r="AF20" s="50"/>
      <c r="AG20" s="50"/>
      <c r="AH20" s="50"/>
      <c r="AI20" s="50"/>
      <c r="AJ20" s="50"/>
      <c r="AK20" s="50"/>
      <c r="AL20" s="50"/>
      <c r="AM20" s="57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196"/>
      <c r="AY20" s="196"/>
      <c r="AZ20" s="196"/>
      <c r="BA20" s="89"/>
      <c r="BB20" s="89"/>
      <c r="BC20" s="89"/>
      <c r="BD20" s="8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0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</row>
    <row r="21" ht="30" customHeight="1">
      <c r="B21" s="367"/>
      <c r="C21" s="184" t="s">
        <v>200</v>
      </c>
      <c r="D21" s="219" t="s">
        <v>201</v>
      </c>
      <c r="E21" s="19"/>
      <c r="F21" s="46"/>
      <c r="G21" s="50"/>
      <c r="H21" s="50"/>
      <c r="I21" s="50"/>
      <c r="J21" s="50"/>
      <c r="K21" s="50"/>
      <c r="L21" s="50"/>
      <c r="M21" s="57"/>
      <c r="N21" s="39"/>
      <c r="O21" s="39"/>
      <c r="P21" s="39"/>
      <c r="Q21" s="39"/>
      <c r="R21" s="51"/>
      <c r="S21" s="86"/>
      <c r="T21" s="86"/>
      <c r="U21" s="70"/>
      <c r="V21" s="86"/>
      <c r="W21" s="86"/>
      <c r="X21" s="50"/>
      <c r="Y21" s="50"/>
      <c r="Z21" s="50"/>
      <c r="AA21" s="207"/>
      <c r="AB21" s="207"/>
      <c r="AC21" s="50"/>
      <c r="AD21" s="50"/>
      <c r="AE21" s="50"/>
      <c r="AF21" s="50"/>
      <c r="AG21" s="50"/>
      <c r="AH21" s="50"/>
      <c r="AI21" s="50"/>
      <c r="AJ21" s="50"/>
      <c r="AK21" s="50"/>
      <c r="AL21" s="203"/>
      <c r="AM21" s="57"/>
      <c r="AN21" s="50"/>
      <c r="AO21" s="50"/>
      <c r="AP21" s="50"/>
      <c r="AQ21" s="50"/>
      <c r="AR21" s="50"/>
      <c r="AS21" s="50"/>
      <c r="AT21" s="50"/>
      <c r="AU21" s="50"/>
      <c r="AV21" s="206"/>
      <c r="AW21" s="50"/>
      <c r="AX21" s="50"/>
      <c r="AY21" s="50"/>
      <c r="AZ21" s="50"/>
      <c r="BA21" s="89"/>
      <c r="BB21" s="89"/>
      <c r="BC21" s="89"/>
      <c r="BD21" s="8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0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</row>
    <row r="22" ht="30" customHeight="1">
      <c r="B22" s="368"/>
      <c r="C22" s="210" t="s">
        <v>202</v>
      </c>
      <c r="D22" s="46" t="s">
        <v>203</v>
      </c>
      <c r="E22" s="19"/>
      <c r="F22" s="46"/>
      <c r="G22" s="50"/>
      <c r="H22" s="50"/>
      <c r="I22" s="50"/>
      <c r="J22" s="50"/>
      <c r="K22" s="50"/>
      <c r="L22" s="50"/>
      <c r="M22" s="57"/>
      <c r="N22" s="46"/>
      <c r="O22" s="46"/>
      <c r="P22" s="50"/>
      <c r="Q22" s="50"/>
      <c r="R22" s="53"/>
      <c r="S22" s="86"/>
      <c r="T22" s="86"/>
      <c r="U22" s="70"/>
      <c r="V22" s="86"/>
      <c r="W22" s="86"/>
      <c r="X22" s="86"/>
      <c r="Y22" s="86"/>
      <c r="Z22" s="86"/>
      <c r="AA22" s="50"/>
      <c r="AB22" s="207"/>
      <c r="AC22" s="207"/>
      <c r="AD22" s="207"/>
      <c r="AE22" s="50"/>
      <c r="AF22" s="50"/>
      <c r="AG22" s="50"/>
      <c r="AH22" s="50"/>
      <c r="AI22" s="50"/>
      <c r="AJ22" s="50"/>
      <c r="AK22" s="50"/>
      <c r="AL22" s="50"/>
      <c r="AM22" s="80"/>
      <c r="AN22" s="86"/>
      <c r="AO22" s="86"/>
      <c r="AP22" s="86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89"/>
      <c r="BB22" s="89"/>
      <c r="BC22" s="89"/>
      <c r="BD22" s="8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0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</row>
    <row r="23" ht="30" customHeight="1">
      <c r="B23" s="222"/>
      <c r="C23" s="211" t="s">
        <v>204</v>
      </c>
      <c r="D23" s="46" t="s">
        <v>205</v>
      </c>
      <c r="E23" s="19"/>
      <c r="F23" s="46"/>
      <c r="G23" s="50"/>
      <c r="H23" s="50"/>
      <c r="I23" s="50"/>
      <c r="J23" s="50"/>
      <c r="K23" s="50"/>
      <c r="L23" s="50"/>
      <c r="M23" s="57"/>
      <c r="N23" s="46"/>
      <c r="O23" s="46"/>
      <c r="P23" s="50"/>
      <c r="Q23" s="50"/>
      <c r="R23" s="53"/>
      <c r="S23" s="86"/>
      <c r="T23" s="86"/>
      <c r="U23" s="70"/>
      <c r="V23" s="86"/>
      <c r="W23" s="86"/>
      <c r="X23" s="80"/>
      <c r="Y23" s="86"/>
      <c r="Z23" s="86"/>
      <c r="AA23" s="70"/>
      <c r="AB23" s="207"/>
      <c r="AC23" s="185"/>
      <c r="AD23" s="185"/>
      <c r="AE23" s="185"/>
      <c r="AF23" s="185"/>
      <c r="AG23" s="185"/>
      <c r="AH23" s="185"/>
      <c r="AI23" s="185"/>
      <c r="AJ23" s="185"/>
      <c r="AK23" s="86"/>
      <c r="AL23" s="86"/>
      <c r="AM23" s="50"/>
      <c r="AN23" s="50"/>
      <c r="AO23" s="50"/>
      <c r="AP23" s="203"/>
      <c r="AQ23" s="86"/>
      <c r="AR23" s="198"/>
      <c r="AS23" s="86"/>
      <c r="AT23" s="86"/>
      <c r="AU23" s="86"/>
      <c r="AV23" s="206"/>
      <c r="AW23" s="86"/>
      <c r="AX23" s="86"/>
      <c r="AY23" s="86"/>
      <c r="AZ23" s="86"/>
      <c r="BA23" s="91"/>
      <c r="BB23" s="91"/>
      <c r="BC23" s="91"/>
      <c r="BD23" s="91"/>
      <c r="BE23" s="98"/>
      <c r="BF23" s="98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0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</row>
    <row r="24" ht="49.5" customHeight="1">
      <c r="B24" s="222"/>
      <c r="C24" s="204" t="s">
        <v>206</v>
      </c>
      <c r="D24" s="46" t="s">
        <v>207</v>
      </c>
      <c r="E24" s="19"/>
      <c r="F24" s="46"/>
      <c r="G24" s="50"/>
      <c r="H24" s="50"/>
      <c r="I24" s="50"/>
      <c r="J24" s="50"/>
      <c r="K24" s="50"/>
      <c r="L24" s="50"/>
      <c r="M24" s="57"/>
      <c r="N24" s="46"/>
      <c r="O24" s="46"/>
      <c r="P24" s="50"/>
      <c r="Q24" s="50"/>
      <c r="R24" s="50"/>
      <c r="S24" s="50"/>
      <c r="T24" s="50"/>
      <c r="U24" s="50"/>
      <c r="V24" s="50"/>
      <c r="W24" s="50"/>
      <c r="X24" s="57"/>
      <c r="Y24" s="50"/>
      <c r="Z24" s="50"/>
      <c r="AA24" s="70"/>
      <c r="AB24" s="207"/>
      <c r="AC24" s="207"/>
      <c r="AD24" s="207"/>
      <c r="AE24" s="207"/>
      <c r="AF24" s="207"/>
      <c r="AG24" s="207"/>
      <c r="AH24" s="207"/>
      <c r="AI24" s="207"/>
      <c r="AJ24" s="207"/>
      <c r="AK24" s="86"/>
      <c r="AL24" s="86"/>
      <c r="AM24" s="50"/>
      <c r="AN24" s="50"/>
      <c r="AO24" s="50"/>
      <c r="AP24" s="50"/>
      <c r="AQ24" s="86"/>
      <c r="AR24" s="86"/>
      <c r="AS24" s="86"/>
      <c r="AT24" s="86"/>
      <c r="AU24" s="86"/>
      <c r="AV24" s="86"/>
      <c r="AW24" s="86"/>
      <c r="AX24" s="203"/>
      <c r="AY24" s="203"/>
      <c r="AZ24" s="203"/>
      <c r="BA24" s="203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0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</row>
    <row r="25" ht="35.25" customHeight="1">
      <c r="A25" s="225"/>
      <c r="B25" s="222"/>
      <c r="C25" s="193" t="s">
        <v>208</v>
      </c>
      <c r="D25" s="200" t="s">
        <v>209</v>
      </c>
      <c r="E25" s="9"/>
      <c r="F25" s="50"/>
      <c r="G25" s="50"/>
      <c r="H25" s="50"/>
      <c r="I25" s="50"/>
      <c r="J25" s="50"/>
      <c r="K25" s="50"/>
      <c r="L25" s="50"/>
      <c r="M25" s="86"/>
      <c r="N25" s="86"/>
      <c r="O25" s="86"/>
      <c r="P25" s="80"/>
      <c r="Q25" s="86"/>
      <c r="R25" s="86"/>
      <c r="S25" s="86"/>
      <c r="T25" s="86"/>
      <c r="U25" s="70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50"/>
      <c r="AG25" s="50"/>
      <c r="AH25" s="50"/>
      <c r="AI25" s="50"/>
      <c r="AJ25" s="50"/>
      <c r="AK25" s="50"/>
      <c r="AL25" s="50"/>
      <c r="AM25" s="57"/>
      <c r="AN25" s="50"/>
      <c r="AO25" s="50"/>
      <c r="AP25" s="50"/>
      <c r="AQ25" s="50"/>
      <c r="AR25" s="50"/>
      <c r="AS25" s="203"/>
      <c r="AT25" s="203"/>
      <c r="AU25" s="203"/>
      <c r="AV25" s="203"/>
      <c r="AW25" s="203"/>
      <c r="AX25" s="227"/>
      <c r="AY25" s="227"/>
      <c r="AZ25" s="227"/>
      <c r="BA25" s="227"/>
      <c r="BB25" s="227"/>
      <c r="BC25" s="89"/>
      <c r="BD25" s="8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0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5"/>
    </row>
    <row r="26" ht="35.25" customHeight="1">
      <c r="B26" s="222"/>
      <c r="C26" s="194" t="s">
        <v>211</v>
      </c>
      <c r="D26" s="200" t="s">
        <v>184</v>
      </c>
      <c r="E26" s="9"/>
      <c r="F26" s="50"/>
      <c r="G26" s="50"/>
      <c r="H26" s="50"/>
      <c r="I26" s="50"/>
      <c r="J26" s="50"/>
      <c r="K26" s="50"/>
      <c r="L26" s="50"/>
      <c r="M26" s="86"/>
      <c r="N26" s="86"/>
      <c r="O26" s="86"/>
      <c r="P26" s="80"/>
      <c r="Q26" s="86"/>
      <c r="R26" s="86"/>
      <c r="S26" s="86"/>
      <c r="T26" s="86"/>
      <c r="U26" s="70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50"/>
      <c r="AG26" s="50"/>
      <c r="AH26" s="50"/>
      <c r="AI26" s="50"/>
      <c r="AJ26" s="50"/>
      <c r="AK26" s="50"/>
      <c r="AL26" s="50"/>
      <c r="AM26" s="57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89"/>
      <c r="BB26" s="89"/>
      <c r="BC26" s="89"/>
      <c r="BD26" s="8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0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5"/>
    </row>
    <row r="27" ht="35.25" customHeight="1">
      <c r="B27" s="222"/>
      <c r="C27" s="194" t="s">
        <v>212</v>
      </c>
      <c r="D27" s="200" t="s">
        <v>184</v>
      </c>
      <c r="E27" s="9"/>
      <c r="F27" s="50"/>
      <c r="G27" s="50"/>
      <c r="H27" s="50"/>
      <c r="I27" s="50"/>
      <c r="J27" s="50"/>
      <c r="K27" s="50"/>
      <c r="L27" s="50"/>
      <c r="M27" s="86"/>
      <c r="N27" s="86"/>
      <c r="O27" s="86"/>
      <c r="P27" s="80"/>
      <c r="Q27" s="86"/>
      <c r="R27" s="86"/>
      <c r="S27" s="86"/>
      <c r="T27" s="86"/>
      <c r="U27" s="70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50"/>
      <c r="AG27" s="50"/>
      <c r="AH27" s="50"/>
      <c r="AI27" s="50"/>
      <c r="AJ27" s="50"/>
      <c r="AK27" s="50"/>
      <c r="AL27" s="50"/>
      <c r="AM27" s="57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89"/>
      <c r="BB27" s="89"/>
      <c r="BC27" s="89"/>
      <c r="BD27" s="8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0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5"/>
    </row>
    <row r="28" ht="35.25" customHeight="1">
      <c r="B28" s="222"/>
      <c r="C28" s="194" t="s">
        <v>213</v>
      </c>
      <c r="D28" s="200" t="s">
        <v>184</v>
      </c>
      <c r="E28" s="9"/>
      <c r="F28" s="50"/>
      <c r="G28" s="50"/>
      <c r="H28" s="50"/>
      <c r="I28" s="50"/>
      <c r="J28" s="50"/>
      <c r="K28" s="50"/>
      <c r="L28" s="50"/>
      <c r="M28" s="86"/>
      <c r="N28" s="86"/>
      <c r="O28" s="86"/>
      <c r="P28" s="80"/>
      <c r="Q28" s="86"/>
      <c r="R28" s="86"/>
      <c r="S28" s="86"/>
      <c r="T28" s="86"/>
      <c r="U28" s="70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50"/>
      <c r="AG28" s="50"/>
      <c r="AH28" s="50"/>
      <c r="AI28" s="50"/>
      <c r="AJ28" s="50"/>
      <c r="AK28" s="50"/>
      <c r="AL28" s="50"/>
      <c r="AM28" s="57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89"/>
      <c r="BB28" s="89"/>
      <c r="BC28" s="89"/>
      <c r="BD28" s="8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0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5"/>
    </row>
    <row r="29" ht="35.25" customHeight="1">
      <c r="B29" s="222"/>
      <c r="C29" s="194" t="s">
        <v>214</v>
      </c>
      <c r="D29" s="200" t="s">
        <v>184</v>
      </c>
      <c r="E29" s="9"/>
      <c r="F29" s="50"/>
      <c r="G29" s="50"/>
      <c r="H29" s="50"/>
      <c r="I29" s="50"/>
      <c r="J29" s="50"/>
      <c r="K29" s="50"/>
      <c r="L29" s="50"/>
      <c r="M29" s="86"/>
      <c r="N29" s="86"/>
      <c r="O29" s="86"/>
      <c r="P29" s="80"/>
      <c r="Q29" s="86"/>
      <c r="R29" s="86"/>
      <c r="S29" s="86"/>
      <c r="T29" s="86"/>
      <c r="U29" s="70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50"/>
      <c r="AG29" s="50"/>
      <c r="AH29" s="50"/>
      <c r="AI29" s="50"/>
      <c r="AJ29" s="50"/>
      <c r="AK29" s="50"/>
      <c r="AL29" s="50"/>
      <c r="AM29" s="57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89"/>
      <c r="BB29" s="89"/>
      <c r="BC29" s="89"/>
      <c r="BD29" s="8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0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5"/>
    </row>
    <row r="30" ht="33" customHeight="1">
      <c r="B30" s="222"/>
      <c r="C30" s="194" t="s">
        <v>215</v>
      </c>
      <c r="D30" s="200" t="s">
        <v>184</v>
      </c>
      <c r="E30" s="9"/>
      <c r="F30" s="50"/>
      <c r="G30" s="50"/>
      <c r="H30" s="50"/>
      <c r="I30" s="50"/>
      <c r="J30" s="50"/>
      <c r="K30" s="50"/>
      <c r="L30" s="50"/>
      <c r="M30" s="86"/>
      <c r="N30" s="86"/>
      <c r="O30" s="86"/>
      <c r="P30" s="80"/>
      <c r="Q30" s="86"/>
      <c r="R30" s="86"/>
      <c r="S30" s="86"/>
      <c r="T30" s="86"/>
      <c r="U30" s="70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50"/>
      <c r="AG30" s="50"/>
      <c r="AH30" s="50"/>
      <c r="AI30" s="50"/>
      <c r="AJ30" s="50"/>
      <c r="AK30" s="50"/>
      <c r="AL30" s="50"/>
      <c r="AM30" s="57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89"/>
      <c r="BB30" s="89"/>
      <c r="BC30" s="89"/>
      <c r="BD30" s="8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0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5"/>
    </row>
    <row r="31" ht="66" customHeight="1">
      <c r="B31" s="222"/>
      <c r="C31" s="194" t="s">
        <v>216</v>
      </c>
      <c r="D31" s="200" t="s">
        <v>184</v>
      </c>
      <c r="E31" s="9"/>
      <c r="F31" s="50"/>
      <c r="G31" s="50"/>
      <c r="H31" s="50"/>
      <c r="I31" s="50"/>
      <c r="J31" s="50"/>
      <c r="K31" s="50"/>
      <c r="L31" s="50"/>
      <c r="M31" s="86"/>
      <c r="N31" s="86"/>
      <c r="O31" s="86"/>
      <c r="P31" s="80"/>
      <c r="Q31" s="86"/>
      <c r="R31" s="86"/>
      <c r="S31" s="86"/>
      <c r="T31" s="86"/>
      <c r="U31" s="70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50"/>
      <c r="AG31" s="50"/>
      <c r="AH31" s="50"/>
      <c r="AI31" s="50"/>
      <c r="AJ31" s="50"/>
      <c r="AK31" s="50"/>
      <c r="AL31" s="50"/>
      <c r="AM31" s="57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89"/>
      <c r="BB31" s="89"/>
      <c r="BC31" s="89"/>
      <c r="BD31" s="8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0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5"/>
    </row>
    <row r="32" ht="16.5" customHeight="1">
      <c r="B32" s="222"/>
      <c r="C32" s="194" t="s">
        <v>217</v>
      </c>
      <c r="D32" s="200" t="s">
        <v>184</v>
      </c>
      <c r="E32" s="9"/>
      <c r="F32" s="50"/>
      <c r="G32" s="50"/>
      <c r="H32" s="50"/>
      <c r="I32" s="50"/>
      <c r="J32" s="50"/>
      <c r="K32" s="50"/>
      <c r="L32" s="50"/>
      <c r="M32" s="86"/>
      <c r="N32" s="86"/>
      <c r="O32" s="86"/>
      <c r="P32" s="80"/>
      <c r="Q32" s="86"/>
      <c r="R32" s="86"/>
      <c r="S32" s="86"/>
      <c r="T32" s="86"/>
      <c r="U32" s="70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50"/>
      <c r="AG32" s="50"/>
      <c r="AH32" s="50"/>
      <c r="AI32" s="50"/>
      <c r="AJ32" s="50"/>
      <c r="AK32" s="50"/>
      <c r="AL32" s="50"/>
      <c r="AM32" s="57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89"/>
      <c r="BB32" s="89"/>
      <c r="BC32" s="89"/>
      <c r="BD32" s="8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0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5"/>
    </row>
    <row r="33" ht="35.25" customHeight="1">
      <c r="B33" s="222"/>
      <c r="C33" s="212" t="s">
        <v>218</v>
      </c>
      <c r="D33" s="200" t="s">
        <v>219</v>
      </c>
      <c r="E33" s="9"/>
      <c r="F33" s="50"/>
      <c r="G33" s="50"/>
      <c r="H33" s="50"/>
      <c r="I33" s="50"/>
      <c r="J33" s="50"/>
      <c r="K33" s="50"/>
      <c r="L33" s="50"/>
      <c r="M33" s="86"/>
      <c r="N33" s="86"/>
      <c r="O33" s="86"/>
      <c r="P33" s="80"/>
      <c r="Q33" s="86"/>
      <c r="R33" s="86"/>
      <c r="S33" s="86"/>
      <c r="T33" s="86"/>
      <c r="U33" s="70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50"/>
      <c r="AG33" s="50"/>
      <c r="AH33" s="50"/>
      <c r="AI33" s="50"/>
      <c r="AJ33" s="50"/>
      <c r="AK33" s="50"/>
      <c r="AL33" s="50"/>
      <c r="AM33" s="57"/>
      <c r="AN33" s="50"/>
      <c r="AO33" s="50"/>
      <c r="AP33" s="50"/>
      <c r="AQ33" s="50"/>
      <c r="AR33" s="50"/>
      <c r="AS33" s="50"/>
      <c r="AT33" s="50"/>
      <c r="AU33" s="203"/>
      <c r="AV33" s="203"/>
      <c r="AW33" s="203"/>
      <c r="AX33" s="203"/>
      <c r="AY33" s="203"/>
      <c r="AZ33" s="203"/>
      <c r="BA33" s="203"/>
      <c r="BB33" s="203"/>
      <c r="BC33" s="89"/>
      <c r="BD33" s="8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0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5"/>
    </row>
    <row r="34" ht="35.25" customHeight="1">
      <c r="B34" s="222"/>
      <c r="C34" s="194" t="s">
        <v>220</v>
      </c>
      <c r="D34" s="200" t="s">
        <v>219</v>
      </c>
      <c r="E34" s="9"/>
      <c r="F34" s="50"/>
      <c r="G34" s="50"/>
      <c r="H34" s="50"/>
      <c r="I34" s="50"/>
      <c r="J34" s="50"/>
      <c r="K34" s="50"/>
      <c r="L34" s="50"/>
      <c r="M34" s="86"/>
      <c r="N34" s="86"/>
      <c r="O34" s="86"/>
      <c r="P34" s="80"/>
      <c r="Q34" s="86"/>
      <c r="R34" s="86"/>
      <c r="S34" s="86"/>
      <c r="T34" s="86"/>
      <c r="U34" s="70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50"/>
      <c r="AG34" s="50"/>
      <c r="AH34" s="50"/>
      <c r="AI34" s="50"/>
      <c r="AJ34" s="50"/>
      <c r="AK34" s="50"/>
      <c r="AL34" s="50"/>
      <c r="AM34" s="57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203"/>
      <c r="BB34" s="203"/>
      <c r="BC34" s="203"/>
      <c r="BD34" s="203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0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5"/>
    </row>
    <row r="35" ht="35.25" customHeight="1">
      <c r="B35" s="222"/>
      <c r="C35" s="194" t="s">
        <v>221</v>
      </c>
      <c r="D35" s="200" t="s">
        <v>219</v>
      </c>
      <c r="E35" s="9"/>
      <c r="F35" s="50"/>
      <c r="G35" s="50"/>
      <c r="H35" s="50"/>
      <c r="I35" s="50"/>
      <c r="J35" s="50"/>
      <c r="K35" s="50"/>
      <c r="L35" s="50"/>
      <c r="M35" s="86"/>
      <c r="N35" s="86"/>
      <c r="O35" s="86"/>
      <c r="P35" s="80"/>
      <c r="Q35" s="86"/>
      <c r="R35" s="86"/>
      <c r="S35" s="86"/>
      <c r="T35" s="86"/>
      <c r="U35" s="70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50"/>
      <c r="AG35" s="50"/>
      <c r="AH35" s="50"/>
      <c r="AI35" s="50"/>
      <c r="AJ35" s="50"/>
      <c r="AK35" s="50"/>
      <c r="AL35" s="50"/>
      <c r="AM35" s="57"/>
      <c r="AN35" s="203"/>
      <c r="AO35" s="203"/>
      <c r="AP35" s="203"/>
      <c r="AQ35" s="203"/>
      <c r="AR35" s="50"/>
      <c r="AS35" s="50"/>
      <c r="AT35" s="50"/>
      <c r="AU35" s="50"/>
      <c r="AV35" s="50"/>
      <c r="AW35" s="50"/>
      <c r="AX35" s="50"/>
      <c r="AY35" s="50"/>
      <c r="AZ35" s="50"/>
      <c r="BA35" s="89"/>
      <c r="BB35" s="89"/>
      <c r="BC35" s="89"/>
      <c r="BD35" s="8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0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5"/>
    </row>
    <row r="36" ht="49.5" customHeight="1">
      <c r="B36" s="365" t="s">
        <v>222</v>
      </c>
      <c r="C36" s="211" t="s">
        <v>223</v>
      </c>
      <c r="D36" s="219" t="s">
        <v>224</v>
      </c>
      <c r="E36" s="19"/>
      <c r="F36" s="46"/>
      <c r="G36" s="50"/>
      <c r="H36" s="50"/>
      <c r="I36" s="50"/>
      <c r="J36" s="50"/>
      <c r="K36" s="50"/>
      <c r="L36" s="50"/>
      <c r="M36" s="57"/>
      <c r="N36" s="50"/>
      <c r="O36" s="46"/>
      <c r="P36" s="46"/>
      <c r="Q36" s="46"/>
      <c r="R36" s="50"/>
      <c r="S36" s="50"/>
      <c r="T36" s="50"/>
      <c r="U36" s="50"/>
      <c r="V36" s="50"/>
      <c r="W36" s="50"/>
      <c r="X36" s="50"/>
      <c r="Y36" s="185"/>
      <c r="Z36" s="86"/>
      <c r="AA36" s="50"/>
      <c r="AB36" s="50"/>
      <c r="AC36" s="50"/>
      <c r="AD36" s="50"/>
      <c r="AE36" s="50"/>
      <c r="AF36" s="207"/>
      <c r="AG36" s="207"/>
      <c r="AH36" s="207"/>
      <c r="AI36" s="207"/>
      <c r="AJ36" s="50"/>
      <c r="AK36" s="50"/>
      <c r="AL36" s="50"/>
      <c r="AM36" s="50"/>
      <c r="AN36" s="50"/>
      <c r="AO36" s="50"/>
      <c r="AP36" s="50"/>
      <c r="AQ36" s="203"/>
      <c r="AR36" s="203"/>
      <c r="AS36" s="203"/>
      <c r="AT36" s="198"/>
      <c r="AU36" s="50"/>
      <c r="AV36" s="206"/>
      <c r="AW36" s="50"/>
      <c r="AX36" s="50"/>
      <c r="AY36" s="50"/>
      <c r="AZ36" s="50"/>
      <c r="BA36" s="50"/>
      <c r="BB36" s="50"/>
      <c r="BC36" s="50"/>
      <c r="BD36" s="89"/>
      <c r="BE36" s="89"/>
      <c r="BF36" s="89"/>
      <c r="BG36" s="8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0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</row>
    <row r="37" ht="27" customHeight="1">
      <c r="B37" s="366"/>
      <c r="C37" s="219" t="s">
        <v>225</v>
      </c>
      <c r="D37" s="219" t="s">
        <v>224</v>
      </c>
      <c r="E37" s="19"/>
      <c r="F37" s="46"/>
      <c r="G37" s="50"/>
      <c r="H37" s="50"/>
      <c r="I37" s="50"/>
      <c r="J37" s="50"/>
      <c r="K37" s="50"/>
      <c r="L37" s="50"/>
      <c r="M37" s="57"/>
      <c r="N37" s="50"/>
      <c r="O37" s="46"/>
      <c r="P37" s="46"/>
      <c r="Q37" s="46"/>
      <c r="R37" s="50"/>
      <c r="S37" s="50"/>
      <c r="T37" s="50"/>
      <c r="U37" s="50"/>
      <c r="V37" s="50"/>
      <c r="W37" s="50"/>
      <c r="X37" s="50"/>
      <c r="Y37" s="185"/>
      <c r="Z37" s="86"/>
      <c r="AA37" s="50"/>
      <c r="AB37" s="50"/>
      <c r="AC37" s="50"/>
      <c r="AD37" s="50"/>
      <c r="AE37" s="50"/>
      <c r="AF37" s="46"/>
      <c r="AG37" s="46"/>
      <c r="AH37" s="46"/>
      <c r="AI37" s="50"/>
      <c r="AJ37" s="207"/>
      <c r="AK37" s="207"/>
      <c r="AL37" s="50"/>
      <c r="AM37" s="50"/>
      <c r="AN37" s="50"/>
      <c r="AO37" s="50"/>
      <c r="AP37" s="50"/>
      <c r="AQ37" s="50"/>
      <c r="AR37" s="50"/>
      <c r="AS37" s="50"/>
      <c r="AT37" s="50"/>
      <c r="AU37" s="203"/>
      <c r="AV37" s="203"/>
      <c r="AW37" s="50"/>
      <c r="AX37" s="50"/>
      <c r="AY37" s="50"/>
      <c r="AZ37" s="50"/>
      <c r="BA37" s="50"/>
      <c r="BB37" s="50"/>
      <c r="BC37" s="50"/>
      <c r="BD37" s="89"/>
      <c r="BE37" s="89"/>
      <c r="BF37" s="89"/>
      <c r="BG37" s="8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0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</row>
    <row r="38" ht="27" customHeight="1">
      <c r="B38" s="366"/>
      <c r="C38" s="211" t="s">
        <v>226</v>
      </c>
      <c r="D38" s="219" t="s">
        <v>224</v>
      </c>
      <c r="E38" s="19"/>
      <c r="F38" s="46"/>
      <c r="G38" s="50"/>
      <c r="H38" s="50"/>
      <c r="I38" s="50"/>
      <c r="J38" s="50"/>
      <c r="K38" s="50"/>
      <c r="L38" s="50"/>
      <c r="M38" s="57"/>
      <c r="N38" s="50"/>
      <c r="O38" s="46"/>
      <c r="P38" s="46"/>
      <c r="Q38" s="46"/>
      <c r="R38" s="50"/>
      <c r="S38" s="50"/>
      <c r="T38" s="50"/>
      <c r="U38" s="50"/>
      <c r="V38" s="50"/>
      <c r="W38" s="50"/>
      <c r="X38" s="50"/>
      <c r="Y38" s="185"/>
      <c r="Z38" s="86"/>
      <c r="AA38" s="50"/>
      <c r="AB38" s="50"/>
      <c r="AC38" s="50"/>
      <c r="AD38" s="50"/>
      <c r="AE38" s="50"/>
      <c r="AF38" s="46"/>
      <c r="AG38" s="46"/>
      <c r="AH38" s="46"/>
      <c r="AI38" s="50"/>
      <c r="AJ38" s="50"/>
      <c r="AK38" s="50"/>
      <c r="AL38" s="207"/>
      <c r="AM38" s="207"/>
      <c r="AN38" s="50"/>
      <c r="AO38" s="50"/>
      <c r="AP38" s="50"/>
      <c r="AQ38" s="50"/>
      <c r="AR38" s="50"/>
      <c r="AS38" s="50"/>
      <c r="AT38" s="50"/>
      <c r="AU38" s="203"/>
      <c r="AV38" s="50"/>
      <c r="AW38" s="50"/>
      <c r="AX38" s="50"/>
      <c r="AY38" s="50"/>
      <c r="AZ38" s="50"/>
      <c r="BA38" s="50"/>
      <c r="BB38" s="50"/>
      <c r="BC38" s="50"/>
      <c r="BD38" s="89"/>
      <c r="BE38" s="89"/>
      <c r="BF38" s="89"/>
      <c r="BG38" s="8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0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</row>
    <row r="39" ht="66" customHeight="1">
      <c r="B39" s="366"/>
      <c r="C39" s="219" t="s">
        <v>227</v>
      </c>
      <c r="D39" s="219" t="s">
        <v>224</v>
      </c>
      <c r="E39" s="19"/>
      <c r="F39" s="46"/>
      <c r="G39" s="50"/>
      <c r="H39" s="50"/>
      <c r="I39" s="50"/>
      <c r="J39" s="50"/>
      <c r="K39" s="50"/>
      <c r="L39" s="50"/>
      <c r="M39" s="57"/>
      <c r="N39" s="50"/>
      <c r="O39" s="46"/>
      <c r="P39" s="46"/>
      <c r="Q39" s="46"/>
      <c r="R39" s="50"/>
      <c r="S39" s="46"/>
      <c r="T39" s="46"/>
      <c r="U39" s="46"/>
      <c r="V39" s="46"/>
      <c r="W39" s="46"/>
      <c r="X39" s="46"/>
      <c r="Y39" s="46"/>
      <c r="Z39" s="46"/>
      <c r="AA39" s="100"/>
      <c r="AB39" s="100"/>
      <c r="AC39" s="100"/>
      <c r="AD39" s="100"/>
      <c r="AE39" s="100"/>
      <c r="AF39" s="100"/>
      <c r="AG39" s="100"/>
      <c r="AH39" s="100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3"/>
      <c r="AV39" s="203"/>
      <c r="AW39" s="198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3"/>
      <c r="BQ39" s="203"/>
      <c r="BR39" s="50"/>
      <c r="BS39" s="50"/>
      <c r="BT39" s="89"/>
      <c r="BU39" s="89"/>
      <c r="BV39" s="89"/>
      <c r="BW39" s="89"/>
      <c r="BX39" s="10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</row>
    <row r="40" ht="30.599999999999998" customHeight="1">
      <c r="B40" s="366"/>
      <c r="C40" s="219" t="s">
        <v>228</v>
      </c>
      <c r="D40" s="204" t="s">
        <v>229</v>
      </c>
      <c r="E40" s="19"/>
      <c r="F40" s="46"/>
      <c r="G40" s="46"/>
      <c r="H40" s="46"/>
      <c r="I40" s="46"/>
      <c r="J40" s="46"/>
      <c r="K40" s="46"/>
      <c r="L40" s="46"/>
      <c r="M40" s="111"/>
      <c r="N40" s="46"/>
      <c r="O40" s="46"/>
      <c r="P40" s="46"/>
      <c r="Q40" s="46"/>
      <c r="R40" s="50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50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50"/>
      <c r="BP40" s="50"/>
      <c r="BQ40" s="50"/>
      <c r="BR40" s="50"/>
      <c r="BS40" s="50"/>
      <c r="BT40" s="89"/>
      <c r="BU40" s="89"/>
      <c r="BV40" s="89"/>
      <c r="BW40" s="89"/>
      <c r="BX40" s="10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</row>
    <row r="41" ht="33" customHeight="1">
      <c r="B41" s="366"/>
      <c r="C41" s="219" t="s">
        <v>230</v>
      </c>
      <c r="D41" s="219" t="s">
        <v>224</v>
      </c>
      <c r="E41" s="19"/>
      <c r="F41" s="46"/>
      <c r="G41" s="50"/>
      <c r="H41" s="50"/>
      <c r="I41" s="50"/>
      <c r="J41" s="50"/>
      <c r="K41" s="50"/>
      <c r="L41" s="50"/>
      <c r="M41" s="57"/>
      <c r="N41" s="50"/>
      <c r="O41" s="46"/>
      <c r="P41" s="46"/>
      <c r="Q41" s="46"/>
      <c r="R41" s="50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0"/>
      <c r="AK41" s="50"/>
      <c r="AL41" s="50"/>
      <c r="AM41" s="50"/>
      <c r="AN41" s="9"/>
      <c r="AO41" s="50"/>
      <c r="AP41" s="50"/>
      <c r="AQ41" s="50"/>
      <c r="AR41" s="50"/>
      <c r="AS41" s="50"/>
      <c r="AT41" s="50"/>
      <c r="AU41" s="50"/>
      <c r="AV41" s="50"/>
      <c r="AW41" s="57"/>
      <c r="AX41" s="50"/>
      <c r="AY41" s="207"/>
      <c r="AZ41" s="207"/>
      <c r="BA41" s="207"/>
      <c r="BB41" s="207"/>
      <c r="BC41" s="207"/>
      <c r="BD41" s="207"/>
      <c r="BE41" s="207"/>
      <c r="BF41" s="99"/>
      <c r="BG41" s="50"/>
      <c r="BH41" s="50"/>
      <c r="BI41" s="50"/>
      <c r="BJ41" s="50"/>
      <c r="BK41" s="50"/>
      <c r="BL41" s="50"/>
      <c r="BM41" s="50"/>
      <c r="BN41" s="50"/>
      <c r="BO41" s="203"/>
      <c r="BP41" s="203"/>
      <c r="BQ41" s="203"/>
      <c r="BR41" s="203"/>
      <c r="BS41" s="203"/>
      <c r="BT41" s="203"/>
      <c r="BU41" s="203"/>
      <c r="BV41" s="89"/>
      <c r="BW41" s="89"/>
      <c r="BX41" s="10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</row>
    <row r="42" ht="30.599999999999998" customHeight="1">
      <c r="B42" s="366"/>
      <c r="C42" s="219" t="s">
        <v>231</v>
      </c>
      <c r="D42" s="219" t="s">
        <v>232</v>
      </c>
      <c r="E42" s="19"/>
      <c r="F42" s="46"/>
      <c r="G42" s="50"/>
      <c r="H42" s="50"/>
      <c r="I42" s="50"/>
      <c r="J42" s="50"/>
      <c r="K42" s="50"/>
      <c r="L42" s="50"/>
      <c r="M42" s="57"/>
      <c r="N42" s="50"/>
      <c r="O42" s="46"/>
      <c r="P42" s="46"/>
      <c r="Q42" s="46"/>
      <c r="R42" s="50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0"/>
      <c r="AK42" s="50"/>
      <c r="AL42" s="50"/>
      <c r="AM42" s="50"/>
      <c r="AN42" s="9"/>
      <c r="AO42" s="50"/>
      <c r="AP42" s="50"/>
      <c r="AQ42" s="50"/>
      <c r="AR42" s="50"/>
      <c r="AS42" s="50"/>
      <c r="AT42" s="50"/>
      <c r="AU42" s="50"/>
      <c r="AV42" s="50"/>
      <c r="AW42" s="57"/>
      <c r="AX42" s="50"/>
      <c r="AY42" s="46"/>
      <c r="AZ42" s="46"/>
      <c r="BA42" s="46"/>
      <c r="BB42" s="46"/>
      <c r="BC42" s="46"/>
      <c r="BD42" s="46"/>
      <c r="BE42" s="207"/>
      <c r="BF42" s="207"/>
      <c r="BG42" s="207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89"/>
      <c r="BU42" s="89"/>
      <c r="BV42" s="203"/>
      <c r="BW42" s="203"/>
      <c r="BX42" s="203"/>
      <c r="BY42" s="203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</row>
    <row r="43" ht="82.5" customHeight="1">
      <c r="B43" s="366"/>
      <c r="C43" s="219" t="s">
        <v>233</v>
      </c>
      <c r="D43" s="219" t="s">
        <v>224</v>
      </c>
      <c r="E43" s="19"/>
      <c r="F43" s="46"/>
      <c r="G43" s="50"/>
      <c r="H43" s="50"/>
      <c r="I43" s="50"/>
      <c r="J43" s="50"/>
      <c r="K43" s="50"/>
      <c r="L43" s="50"/>
      <c r="M43" s="57"/>
      <c r="N43" s="50"/>
      <c r="O43" s="46"/>
      <c r="P43" s="46"/>
      <c r="Q43" s="46"/>
      <c r="R43" s="50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0"/>
      <c r="AK43" s="50"/>
      <c r="AL43" s="50"/>
      <c r="AM43" s="50"/>
      <c r="AN43" s="9"/>
      <c r="AO43" s="50"/>
      <c r="AP43" s="50"/>
      <c r="AQ43" s="50"/>
      <c r="AR43" s="50"/>
      <c r="AS43" s="50"/>
      <c r="AT43" s="50"/>
      <c r="AU43" s="203"/>
      <c r="AV43" s="203"/>
      <c r="AW43" s="203"/>
      <c r="AX43" s="203"/>
      <c r="AY43" s="203"/>
      <c r="AZ43" s="203"/>
      <c r="BA43" s="205"/>
      <c r="BB43" s="203"/>
      <c r="BC43" s="203"/>
      <c r="BD43" s="203"/>
      <c r="BE43" s="203"/>
      <c r="BF43" s="203"/>
      <c r="BG43" s="203"/>
      <c r="BH43" s="50"/>
      <c r="BI43" s="50"/>
      <c r="BJ43" s="50"/>
      <c r="BK43" s="50"/>
      <c r="BL43" s="50"/>
      <c r="BM43" s="50"/>
      <c r="BN43" s="50"/>
      <c r="BO43" s="50"/>
      <c r="BP43" s="50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</row>
    <row r="44" ht="33" customHeight="1">
      <c r="B44" s="366"/>
      <c r="C44" s="219" t="s">
        <v>234</v>
      </c>
      <c r="D44" s="219" t="s">
        <v>235</v>
      </c>
      <c r="E44" s="21"/>
      <c r="F44" s="22"/>
      <c r="G44" s="50"/>
      <c r="H44" s="50"/>
      <c r="I44" s="50"/>
      <c r="J44" s="50"/>
      <c r="K44" s="50"/>
      <c r="L44" s="50"/>
      <c r="M44" s="57"/>
      <c r="N44" s="50"/>
      <c r="O44" s="46"/>
      <c r="P44" s="46"/>
      <c r="Q44" s="46"/>
      <c r="R44" s="5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0"/>
      <c r="AK44" s="50"/>
      <c r="AL44" s="50"/>
      <c r="AM44" s="50"/>
      <c r="AN44" s="9"/>
      <c r="AO44" s="50"/>
      <c r="AP44" s="50"/>
      <c r="AQ44" s="50"/>
      <c r="AR44" s="50"/>
      <c r="AS44" s="50"/>
      <c r="AT44" s="50"/>
      <c r="AU44" s="50"/>
      <c r="AV44" s="50"/>
      <c r="AW44" s="50"/>
      <c r="AX44" s="39"/>
      <c r="AY44" s="39"/>
      <c r="AZ44" s="39"/>
      <c r="BA44" s="39"/>
      <c r="BB44" s="39"/>
      <c r="BC44" s="39"/>
      <c r="BD44" s="50"/>
      <c r="BE44" s="50"/>
      <c r="BF44" s="57"/>
      <c r="BG44" s="50"/>
      <c r="BH44" s="50"/>
      <c r="BI44" s="57"/>
      <c r="BJ44" s="46"/>
      <c r="BK44" s="46"/>
      <c r="BL44" s="183"/>
      <c r="BM44" s="50"/>
      <c r="BN44" s="50"/>
      <c r="BO44" s="207"/>
      <c r="BP44" s="207"/>
      <c r="BQ44" s="50"/>
      <c r="BR44" s="50"/>
      <c r="BS44" s="50"/>
      <c r="BT44" s="89"/>
      <c r="BU44" s="89"/>
      <c r="BV44" s="89"/>
      <c r="BW44" s="89"/>
      <c r="BX44" s="109"/>
      <c r="BY44" s="119"/>
      <c r="BZ44" s="119"/>
      <c r="CA44" s="119"/>
      <c r="CB44" s="119"/>
      <c r="CC44" s="119"/>
      <c r="CD44" s="203"/>
      <c r="CE44" s="203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</row>
    <row r="45" ht="30" customHeight="1">
      <c r="B45" s="369"/>
      <c r="C45" s="183" t="s">
        <v>236</v>
      </c>
      <c r="D45" s="219" t="s">
        <v>235</v>
      </c>
      <c r="E45" s="19"/>
      <c r="F45" s="46"/>
      <c r="G45" s="9"/>
      <c r="H45" s="50"/>
      <c r="I45" s="50"/>
      <c r="J45" s="50"/>
      <c r="K45" s="50"/>
      <c r="L45" s="50"/>
      <c r="M45" s="57"/>
      <c r="N45" s="50"/>
      <c r="O45" s="46"/>
      <c r="P45" s="46"/>
      <c r="Q45" s="46"/>
      <c r="R45" s="5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0"/>
      <c r="AK45" s="50"/>
      <c r="AL45" s="50"/>
      <c r="AM45" s="50"/>
      <c r="AN45" s="9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7"/>
      <c r="BG45" s="50"/>
      <c r="BH45" s="50"/>
      <c r="BI45" s="50"/>
      <c r="BJ45" s="50"/>
      <c r="BK45" s="50"/>
      <c r="BL45" s="46"/>
      <c r="BM45" s="46"/>
      <c r="BN45" s="46"/>
      <c r="BO45" s="46"/>
      <c r="BP45" s="46"/>
      <c r="BQ45" s="207"/>
      <c r="BR45" s="207"/>
      <c r="BS45" s="207"/>
      <c r="BT45" s="207"/>
      <c r="BU45" s="207"/>
      <c r="BV45" s="207"/>
      <c r="BW45" s="207"/>
      <c r="BX45" s="207"/>
      <c r="BY45" s="207"/>
      <c r="BZ45" s="207"/>
      <c r="CA45" s="207"/>
      <c r="CB45" s="207"/>
      <c r="CC45" s="119"/>
      <c r="CD45" s="119"/>
      <c r="CE45" s="119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  <c r="CR45" s="119"/>
      <c r="CS45" s="119"/>
      <c r="CT45" s="119"/>
      <c r="CU45" s="119"/>
      <c r="CV45" s="119"/>
      <c r="CW45" s="203"/>
      <c r="CX45" s="203"/>
      <c r="CY45" s="203"/>
      <c r="CZ45" s="119"/>
      <c r="DA45" s="119"/>
      <c r="DB45" s="119"/>
      <c r="DC45" s="119"/>
      <c r="DD45" s="119"/>
      <c r="DE45" s="119"/>
    </row>
    <row r="46" ht="30" customHeight="1">
      <c r="B46" s="370" t="s">
        <v>237</v>
      </c>
      <c r="C46" s="46" t="s">
        <v>238</v>
      </c>
      <c r="D46" s="46" t="s">
        <v>239</v>
      </c>
      <c r="E46" s="19"/>
      <c r="F46" s="46"/>
      <c r="G46" s="50"/>
      <c r="H46" s="50"/>
      <c r="I46" s="50"/>
      <c r="J46" s="50"/>
      <c r="K46" s="50"/>
      <c r="L46" s="50"/>
      <c r="M46" s="50"/>
      <c r="N46" s="39"/>
      <c r="O46" s="39"/>
      <c r="P46" s="207"/>
      <c r="Q46" s="207"/>
      <c r="R46" s="207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0"/>
      <c r="AJ46" s="50"/>
      <c r="AK46" s="50"/>
      <c r="AL46" s="50"/>
      <c r="AM46" s="57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89"/>
      <c r="BB46" s="89"/>
      <c r="BC46" s="89"/>
      <c r="BD46" s="8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0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</row>
    <row r="47" ht="30" customHeight="1">
      <c r="B47" s="367"/>
      <c r="C47" s="219" t="s">
        <v>240</v>
      </c>
      <c r="D47" s="46" t="s">
        <v>239</v>
      </c>
      <c r="E47" s="23"/>
      <c r="F47" s="185"/>
      <c r="G47" s="86"/>
      <c r="H47" s="86"/>
      <c r="I47" s="86"/>
      <c r="J47" s="86"/>
      <c r="K47" s="86"/>
      <c r="L47" s="86"/>
      <c r="M47" s="86"/>
      <c r="N47" s="86"/>
      <c r="O47" s="86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0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119"/>
      <c r="BV47" s="119"/>
      <c r="BW47" s="119"/>
      <c r="BX47" s="10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</row>
    <row r="48" ht="30" customHeight="1">
      <c r="B48" s="367"/>
      <c r="C48" s="46" t="s">
        <v>185</v>
      </c>
      <c r="D48" s="46" t="s">
        <v>239</v>
      </c>
      <c r="E48" s="46"/>
      <c r="F48" s="46"/>
      <c r="G48" s="46"/>
      <c r="H48" s="46"/>
      <c r="I48" s="46"/>
      <c r="J48" s="46"/>
      <c r="K48" s="46"/>
      <c r="L48" s="46"/>
      <c r="M48" s="207"/>
      <c r="N48" s="46"/>
      <c r="O48" s="46"/>
      <c r="P48" s="46"/>
      <c r="Q48" s="46"/>
      <c r="R48" s="46"/>
      <c r="S48" s="207"/>
      <c r="T48" s="207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0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</row>
    <row r="49" ht="30" customHeight="1">
      <c r="B49" s="367"/>
      <c r="C49" s="219" t="s">
        <v>241</v>
      </c>
      <c r="D49" s="46" t="s">
        <v>239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0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</row>
    <row r="50" ht="30" customHeight="1">
      <c r="B50" s="367"/>
      <c r="C50" s="218" t="s">
        <v>242</v>
      </c>
      <c r="D50" s="185" t="s">
        <v>239</v>
      </c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119"/>
      <c r="BV50" s="119"/>
      <c r="BW50" s="119"/>
      <c r="BX50" s="10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</row>
    <row r="51" ht="30" customHeight="1">
      <c r="B51" s="365" t="s">
        <v>243</v>
      </c>
      <c r="C51" s="219" t="s">
        <v>244</v>
      </c>
      <c r="D51" s="46" t="s">
        <v>245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207"/>
      <c r="AK51" s="207"/>
      <c r="AL51" s="207"/>
      <c r="AM51" s="207"/>
      <c r="AN51" s="207"/>
      <c r="AO51" s="207"/>
      <c r="AP51" s="207"/>
      <c r="AQ51" s="207"/>
      <c r="AR51" s="46"/>
      <c r="AS51" s="46"/>
      <c r="AT51" s="46"/>
      <c r="AU51" s="46"/>
      <c r="AV51" s="46"/>
      <c r="AW51" s="46"/>
      <c r="AX51" s="46"/>
      <c r="AY51" s="46"/>
      <c r="AZ51" s="46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0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</row>
    <row r="52" ht="30" customHeight="1">
      <c r="B52" s="366"/>
      <c r="C52" s="46" t="s">
        <v>246</v>
      </c>
      <c r="D52" s="46" t="s">
        <v>247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09"/>
      <c r="BY52" s="119"/>
      <c r="BZ52" s="119"/>
      <c r="CA52" s="119"/>
      <c r="CB52" s="119"/>
      <c r="CC52" s="207"/>
      <c r="CD52" s="207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203"/>
      <c r="CS52" s="203"/>
      <c r="CT52" s="119"/>
      <c r="CU52" s="119"/>
      <c r="CV52" s="119"/>
      <c r="CW52" s="119"/>
      <c r="CX52" s="119"/>
      <c r="CY52" s="119"/>
      <c r="CZ52" s="119"/>
      <c r="DA52" s="119"/>
      <c r="DB52" s="119"/>
      <c r="DC52" s="119"/>
      <c r="DD52" s="119"/>
      <c r="DE52" s="119"/>
    </row>
    <row r="53" ht="49.5" customHeight="1">
      <c r="B53" s="366"/>
      <c r="C53" s="219" t="s">
        <v>248</v>
      </c>
      <c r="D53" s="46" t="s">
        <v>247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07"/>
      <c r="AS53" s="207"/>
      <c r="AT53" s="46"/>
      <c r="AU53" s="46"/>
      <c r="AV53" s="46"/>
      <c r="AW53" s="46"/>
      <c r="AX53" s="46"/>
      <c r="AY53" s="46"/>
      <c r="AZ53" s="46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1"/>
      <c r="BY53" s="46"/>
      <c r="BZ53" s="119"/>
      <c r="CA53" s="119"/>
      <c r="CB53" s="119"/>
      <c r="CC53" s="119"/>
      <c r="CD53" s="119"/>
      <c r="CE53" s="207"/>
      <c r="CF53" s="207"/>
      <c r="CG53" s="207"/>
      <c r="CH53" s="207"/>
      <c r="CI53" s="207"/>
      <c r="CJ53" s="207"/>
      <c r="CK53" s="119"/>
      <c r="CL53" s="119"/>
      <c r="CM53" s="119"/>
      <c r="CN53" s="119"/>
      <c r="CO53" s="119"/>
      <c r="CP53" s="119"/>
      <c r="CQ53" s="119"/>
      <c r="CR53" s="119"/>
      <c r="CS53" s="119"/>
      <c r="CT53" s="203"/>
      <c r="CU53" s="203"/>
      <c r="CV53" s="203"/>
      <c r="CW53" s="203"/>
      <c r="CX53" s="203"/>
      <c r="CY53" s="203"/>
      <c r="CZ53" s="119"/>
      <c r="DA53" s="119"/>
      <c r="DB53" s="119"/>
      <c r="DC53" s="119"/>
      <c r="DD53" s="119"/>
      <c r="DE53" s="119"/>
    </row>
    <row r="54" ht="30" customHeight="1">
      <c r="B54" s="366"/>
      <c r="C54" s="219" t="s">
        <v>249</v>
      </c>
      <c r="D54" s="46" t="s">
        <v>239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09"/>
      <c r="BY54" s="46"/>
      <c r="BZ54" s="119"/>
      <c r="CA54" s="119"/>
      <c r="CB54" s="119"/>
      <c r="CC54" s="119"/>
      <c r="CD54" s="119"/>
      <c r="CE54" s="119"/>
      <c r="CF54" s="46"/>
      <c r="CG54" s="119"/>
      <c r="CH54" s="119"/>
      <c r="CI54" s="119"/>
      <c r="CJ54" s="119"/>
      <c r="CK54" s="207"/>
      <c r="CL54" s="207"/>
      <c r="CM54" s="207"/>
      <c r="CN54" s="119"/>
      <c r="CO54" s="119"/>
      <c r="CP54" s="119"/>
      <c r="CQ54" s="119"/>
      <c r="CR54" s="119"/>
      <c r="CS54" s="119"/>
      <c r="CT54" s="119"/>
      <c r="CU54" s="46"/>
      <c r="CV54" s="119"/>
      <c r="CW54" s="119"/>
      <c r="CX54" s="119"/>
      <c r="CY54" s="119"/>
      <c r="CZ54" s="203"/>
      <c r="DA54" s="203"/>
      <c r="DB54" s="203"/>
      <c r="DC54" s="119"/>
      <c r="DD54" s="119"/>
      <c r="DE54" s="119"/>
    </row>
    <row r="55" ht="30" customHeight="1">
      <c r="B55" s="366"/>
      <c r="C55" s="46" t="s">
        <v>250</v>
      </c>
      <c r="D55" s="46" t="s">
        <v>239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09"/>
      <c r="BY55" s="46"/>
      <c r="BZ55" s="119"/>
      <c r="CA55" s="119"/>
      <c r="CB55" s="119"/>
      <c r="CC55" s="119"/>
      <c r="CD55" s="119"/>
      <c r="CE55" s="119"/>
      <c r="CF55" s="46"/>
      <c r="CG55" s="119"/>
      <c r="CH55" s="119"/>
      <c r="CI55" s="119"/>
      <c r="CJ55" s="119"/>
      <c r="CK55" s="119"/>
      <c r="CL55" s="119"/>
      <c r="CM55" s="119"/>
      <c r="CN55" s="207"/>
      <c r="CO55" s="119"/>
      <c r="CP55" s="119"/>
      <c r="CQ55" s="119"/>
      <c r="CR55" s="119"/>
      <c r="CS55" s="119"/>
      <c r="CT55" s="119"/>
      <c r="CU55" s="46"/>
      <c r="CV55" s="119"/>
      <c r="CW55" s="119"/>
      <c r="CX55" s="119"/>
      <c r="CY55" s="119"/>
      <c r="CZ55" s="119"/>
      <c r="DA55" s="119"/>
      <c r="DB55" s="119"/>
      <c r="DC55" s="203"/>
      <c r="DD55" s="119"/>
      <c r="DE55" s="119"/>
    </row>
  </sheetData>
  <mergeCells count="33">
    <mergeCell ref="B3:C3"/>
    <mergeCell ref="AW2:AZ2"/>
    <mergeCell ref="BE2:BH2"/>
    <mergeCell ref="M2:P2"/>
    <mergeCell ref="B2:C2"/>
    <mergeCell ref="B36:B45"/>
    <mergeCell ref="AK2:AN2"/>
    <mergeCell ref="CS2:CV2"/>
    <mergeCell ref="CC2:CF2"/>
    <mergeCell ref="Y2:AB2"/>
    <mergeCell ref="AG2:AJ2"/>
    <mergeCell ref="I2:L2"/>
    <mergeCell ref="B46:B50"/>
    <mergeCell ref="CW2:CZ2"/>
    <mergeCell ref="Q2:T2"/>
    <mergeCell ref="AC2:AF2"/>
    <mergeCell ref="BI2:BL2"/>
    <mergeCell ref="CK2:CN2"/>
    <mergeCell ref="CO2:CR2"/>
    <mergeCell ref="C1:BT1"/>
    <mergeCell ref="E2:H2"/>
    <mergeCell ref="BQ2:BT2"/>
    <mergeCell ref="B51:B55"/>
    <mergeCell ref="BY2:CB2"/>
    <mergeCell ref="BU2:BX2"/>
    <mergeCell ref="AO2:AR2"/>
    <mergeCell ref="B4:B22"/>
    <mergeCell ref="BM2:BP2"/>
    <mergeCell ref="DA2:DD2"/>
    <mergeCell ref="CG2:CJ2"/>
    <mergeCell ref="AS2:AV2"/>
    <mergeCell ref="BA2:BD2"/>
    <mergeCell ref="U2:X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2.83203125" customWidth="1" style="183"/>
    <col min="5" max="52" width="2.4990234375" customWidth="1" style="183"/>
    <col min="53" max="93" width="2.4990234375" customWidth="1" style="118"/>
  </cols>
  <sheetData>
    <row r="1" ht="30" customHeight="1">
      <c r="C1" s="359" t="s">
        <v>251</v>
      </c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  <c r="AR1" s="360"/>
      <c r="AS1" s="360"/>
      <c r="AT1" s="360"/>
      <c r="AU1" s="360"/>
      <c r="AV1" s="360"/>
      <c r="AW1" s="360"/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  <c r="BJ1" s="360"/>
      <c r="BK1" s="360"/>
      <c r="BL1" s="360"/>
      <c r="BM1" s="360"/>
      <c r="BN1" s="360"/>
      <c r="BO1" s="360"/>
      <c r="BP1" s="360"/>
      <c r="BQ1" s="360"/>
      <c r="BR1" s="360"/>
      <c r="BS1" s="360"/>
      <c r="BT1" s="360"/>
      <c r="CP1" s="118" t="s">
        <v>172</v>
      </c>
    </row>
    <row r="2" ht="30" customHeight="1">
      <c r="B2" s="361" t="s">
        <v>173</v>
      </c>
      <c r="C2" s="361"/>
      <c r="D2" s="224" t="s">
        <v>174</v>
      </c>
      <c r="E2" s="372" t="n">
        <v>8</v>
      </c>
      <c r="F2" s="373"/>
      <c r="G2" s="373"/>
      <c r="H2" s="373"/>
      <c r="I2" s="372" t="n">
        <v>9</v>
      </c>
      <c r="J2" s="373"/>
      <c r="K2" s="373"/>
      <c r="L2" s="373"/>
      <c r="M2" s="372" t="n">
        <v>10</v>
      </c>
      <c r="N2" s="373"/>
      <c r="O2" s="373"/>
      <c r="P2" s="373"/>
      <c r="Q2" s="372" t="n">
        <v>11</v>
      </c>
      <c r="R2" s="373"/>
      <c r="S2" s="373"/>
      <c r="T2" s="373"/>
      <c r="U2" s="372" t="n">
        <v>12</v>
      </c>
      <c r="V2" s="373"/>
      <c r="W2" s="373"/>
      <c r="X2" s="373"/>
      <c r="Y2" s="373" t="n">
        <v>1</v>
      </c>
      <c r="Z2" s="373"/>
      <c r="AA2" s="373"/>
      <c r="AB2" s="373"/>
      <c r="AC2" s="373" t="n">
        <v>2</v>
      </c>
      <c r="AD2" s="373"/>
      <c r="AE2" s="373"/>
      <c r="AF2" s="373"/>
      <c r="AG2" s="373" t="n">
        <v>3</v>
      </c>
      <c r="AH2" s="373"/>
      <c r="AI2" s="373"/>
      <c r="AJ2" s="373"/>
      <c r="AK2" s="373" t="n">
        <v>4</v>
      </c>
      <c r="AL2" s="373"/>
      <c r="AM2" s="373"/>
      <c r="AN2" s="373"/>
      <c r="AO2" s="373" t="n">
        <v>5</v>
      </c>
      <c r="AP2" s="373"/>
      <c r="AQ2" s="373"/>
      <c r="AR2" s="373"/>
      <c r="AS2" s="373" t="n">
        <v>6</v>
      </c>
      <c r="AT2" s="373"/>
      <c r="AU2" s="373"/>
      <c r="AV2" s="373"/>
      <c r="AW2" s="373" t="n">
        <v>7</v>
      </c>
      <c r="AX2" s="373"/>
      <c r="AY2" s="373"/>
      <c r="AZ2" s="373"/>
      <c r="BA2" s="373" t="n">
        <v>8</v>
      </c>
      <c r="BB2" s="373"/>
      <c r="BC2" s="373"/>
      <c r="BD2" s="373"/>
      <c r="BE2" s="373" t="n">
        <v>9</v>
      </c>
      <c r="BF2" s="373"/>
      <c r="BG2" s="373"/>
      <c r="BH2" s="373"/>
      <c r="BI2" s="373" t="n">
        <v>10</v>
      </c>
      <c r="BJ2" s="373"/>
      <c r="BK2" s="373"/>
      <c r="BL2" s="373"/>
      <c r="BM2" s="373" t="n">
        <v>11</v>
      </c>
      <c r="BN2" s="373"/>
      <c r="BO2" s="373"/>
      <c r="BP2" s="373"/>
      <c r="BQ2" s="373" t="n">
        <v>12</v>
      </c>
      <c r="BR2" s="373"/>
      <c r="BS2" s="373"/>
      <c r="BT2" s="373"/>
      <c r="BU2" s="373" t="n">
        <v>1</v>
      </c>
      <c r="BV2" s="373"/>
      <c r="BW2" s="373"/>
      <c r="BX2" s="373"/>
      <c r="BY2" s="371" t="n">
        <v>2</v>
      </c>
      <c r="BZ2" s="371"/>
      <c r="CA2" s="371"/>
      <c r="CB2" s="371"/>
      <c r="CC2" s="371" t="n">
        <v>3</v>
      </c>
      <c r="CD2" s="371"/>
      <c r="CE2" s="371"/>
      <c r="CF2" s="371"/>
      <c r="CG2" s="371" t="n">
        <v>4</v>
      </c>
      <c r="CH2" s="371"/>
      <c r="CI2" s="371"/>
      <c r="CJ2" s="371"/>
      <c r="CK2" s="371" t="n">
        <v>5</v>
      </c>
      <c r="CL2" s="371"/>
      <c r="CM2" s="371"/>
      <c r="CN2" s="371"/>
      <c r="CO2" s="114"/>
    </row>
    <row r="3" ht="30" customHeight="1">
      <c r="B3" s="361" t="s">
        <v>175</v>
      </c>
      <c r="C3" s="361"/>
      <c r="D3" s="224" t="s">
        <v>176</v>
      </c>
      <c r="E3" s="235" t="n">
        <v>1</v>
      </c>
      <c r="F3" s="373" t="n">
        <v>2</v>
      </c>
      <c r="G3" s="373" t="n">
        <v>3</v>
      </c>
      <c r="H3" s="373" t="n">
        <v>4</v>
      </c>
      <c r="I3" s="373" t="n">
        <v>1</v>
      </c>
      <c r="J3" s="373" t="n">
        <v>2</v>
      </c>
      <c r="K3" s="373" t="n">
        <v>3</v>
      </c>
      <c r="L3" s="373" t="n">
        <v>4</v>
      </c>
      <c r="M3" s="235" t="n">
        <v>1</v>
      </c>
      <c r="N3" s="373" t="n">
        <v>2</v>
      </c>
      <c r="O3" s="373" t="n">
        <v>3</v>
      </c>
      <c r="P3" s="373" t="n">
        <v>4</v>
      </c>
      <c r="Q3" s="373" t="n">
        <v>1</v>
      </c>
      <c r="R3" s="373" t="n">
        <v>2</v>
      </c>
      <c r="S3" s="373" t="n">
        <v>3</v>
      </c>
      <c r="T3" s="373" t="n">
        <v>4</v>
      </c>
      <c r="U3" s="235" t="n">
        <v>1</v>
      </c>
      <c r="V3" s="373" t="n">
        <v>2</v>
      </c>
      <c r="W3" s="373" t="n">
        <v>3</v>
      </c>
      <c r="X3" s="373" t="n">
        <v>4</v>
      </c>
      <c r="Y3" s="373" t="n">
        <v>1</v>
      </c>
      <c r="Z3" s="373" t="n">
        <v>2</v>
      </c>
      <c r="AA3" s="373" t="n">
        <v>3</v>
      </c>
      <c r="AB3" s="373" t="n">
        <v>4</v>
      </c>
      <c r="AC3" s="235" t="n">
        <v>1</v>
      </c>
      <c r="AD3" s="373" t="n">
        <v>2</v>
      </c>
      <c r="AE3" s="373" t="n">
        <v>3</v>
      </c>
      <c r="AF3" s="373" t="n">
        <v>4</v>
      </c>
      <c r="AG3" s="373" t="n">
        <v>1</v>
      </c>
      <c r="AH3" s="373" t="n">
        <v>2</v>
      </c>
      <c r="AI3" s="373" t="n">
        <v>3</v>
      </c>
      <c r="AJ3" s="373" t="n">
        <v>4</v>
      </c>
      <c r="AK3" s="235" t="n">
        <v>1</v>
      </c>
      <c r="AL3" s="373" t="n">
        <v>2</v>
      </c>
      <c r="AM3" s="373" t="n">
        <v>3</v>
      </c>
      <c r="AN3" s="373" t="n">
        <v>4</v>
      </c>
      <c r="AO3" s="373" t="n">
        <v>1</v>
      </c>
      <c r="AP3" s="373" t="n">
        <v>2</v>
      </c>
      <c r="AQ3" s="373" t="n">
        <v>3</v>
      </c>
      <c r="AR3" s="373" t="n">
        <v>4</v>
      </c>
      <c r="AS3" s="235" t="n">
        <v>1</v>
      </c>
      <c r="AT3" s="373" t="n">
        <v>2</v>
      </c>
      <c r="AU3" s="373" t="n">
        <v>3</v>
      </c>
      <c r="AV3" s="373" t="n">
        <v>4</v>
      </c>
      <c r="AW3" s="373" t="n">
        <v>1</v>
      </c>
      <c r="AX3" s="373" t="n">
        <v>2</v>
      </c>
      <c r="AY3" s="373" t="n">
        <v>3</v>
      </c>
      <c r="AZ3" s="373" t="n">
        <v>4</v>
      </c>
      <c r="BA3" s="235" t="n">
        <v>1</v>
      </c>
      <c r="BB3" s="373" t="n">
        <v>2</v>
      </c>
      <c r="BC3" s="373" t="n">
        <v>3</v>
      </c>
      <c r="BD3" s="373" t="n">
        <v>4</v>
      </c>
      <c r="BE3" s="373" t="n">
        <v>1</v>
      </c>
      <c r="BF3" s="373" t="n">
        <v>2</v>
      </c>
      <c r="BG3" s="373" t="n">
        <v>3</v>
      </c>
      <c r="BH3" s="373" t="n">
        <v>4</v>
      </c>
      <c r="BI3" s="235" t="n">
        <v>1</v>
      </c>
      <c r="BJ3" s="373" t="n">
        <v>2</v>
      </c>
      <c r="BK3" s="373" t="n">
        <v>3</v>
      </c>
      <c r="BL3" s="373" t="n">
        <v>4</v>
      </c>
      <c r="BM3" s="373" t="n">
        <v>1</v>
      </c>
      <c r="BN3" s="373" t="n">
        <v>2</v>
      </c>
      <c r="BO3" s="373" t="n">
        <v>3</v>
      </c>
      <c r="BP3" s="373" t="n">
        <v>4</v>
      </c>
      <c r="BQ3" s="102" t="n">
        <v>1</v>
      </c>
      <c r="BR3" s="102" t="n">
        <v>2</v>
      </c>
      <c r="BS3" s="102" t="n">
        <v>3</v>
      </c>
      <c r="BT3" s="102" t="n">
        <v>4</v>
      </c>
      <c r="BU3" s="102" t="n">
        <v>1</v>
      </c>
      <c r="BV3" s="102" t="n">
        <v>2</v>
      </c>
      <c r="BW3" s="102" t="n">
        <v>3</v>
      </c>
      <c r="BX3" s="105" t="n">
        <v>4</v>
      </c>
      <c r="BY3" s="224" t="n">
        <v>1</v>
      </c>
      <c r="BZ3" s="106" t="n">
        <v>2</v>
      </c>
      <c r="CA3" s="106" t="n">
        <v>3</v>
      </c>
      <c r="CB3" s="106" t="n">
        <v>4</v>
      </c>
      <c r="CC3" s="106" t="n">
        <v>1</v>
      </c>
      <c r="CD3" s="106" t="n">
        <v>2</v>
      </c>
      <c r="CE3" s="106" t="n">
        <v>3</v>
      </c>
      <c r="CF3" s="106" t="n">
        <v>4</v>
      </c>
      <c r="CG3" s="106" t="n">
        <v>1</v>
      </c>
      <c r="CH3" s="106" t="n">
        <v>2</v>
      </c>
      <c r="CI3" s="106" t="n">
        <v>3</v>
      </c>
      <c r="CJ3" s="106" t="n">
        <v>4</v>
      </c>
      <c r="CK3" s="106" t="n">
        <v>1</v>
      </c>
      <c r="CL3" s="106" t="n">
        <v>2</v>
      </c>
      <c r="CM3" s="106" t="n">
        <v>3</v>
      </c>
      <c r="CN3" s="106" t="n">
        <v>4</v>
      </c>
      <c r="CO3" s="106" t="n">
        <v>1</v>
      </c>
    </row>
    <row r="4" ht="30" customHeight="1">
      <c r="B4" s="367" t="s">
        <v>177</v>
      </c>
      <c r="C4" s="7" t="s">
        <v>178</v>
      </c>
      <c r="D4" s="8" t="s">
        <v>179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1"/>
      <c r="R4" s="81"/>
      <c r="S4" s="81"/>
      <c r="T4" s="81"/>
      <c r="U4" s="81"/>
      <c r="V4" s="81"/>
      <c r="W4" s="43"/>
      <c r="X4" s="10"/>
      <c r="Y4" s="10"/>
      <c r="Z4" s="43"/>
      <c r="AA4" s="43"/>
      <c r="AB4" s="475" t="s">
        <v>180</v>
      </c>
      <c r="AC4" s="43"/>
      <c r="AD4" s="43"/>
      <c r="AE4" s="10"/>
      <c r="AF4" s="10"/>
      <c r="AG4" s="10"/>
      <c r="AH4" s="10"/>
      <c r="AI4" s="10"/>
      <c r="AJ4" s="10"/>
      <c r="AK4" s="10"/>
      <c r="AL4" s="10"/>
      <c r="AM4" s="31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89"/>
      <c r="BB4" s="89"/>
      <c r="BC4" s="89"/>
      <c r="BD4" s="89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07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112"/>
      <c r="CN4" s="112"/>
      <c r="CO4" s="112"/>
      <c r="CP4" s="115"/>
    </row>
    <row r="5" ht="30" customHeight="1">
      <c r="B5" s="367"/>
      <c r="C5" s="11" t="s">
        <v>186</v>
      </c>
      <c r="D5" s="12" t="s">
        <v>197</v>
      </c>
      <c r="E5" s="13"/>
      <c r="F5" s="14"/>
      <c r="G5" s="10"/>
      <c r="H5" s="10"/>
      <c r="I5" s="10"/>
      <c r="J5" s="10"/>
      <c r="K5" s="10"/>
      <c r="L5" s="10"/>
      <c r="M5" s="81"/>
      <c r="N5" s="81"/>
      <c r="O5" s="29"/>
      <c r="P5" s="30"/>
      <c r="Q5" s="29"/>
      <c r="R5" s="29"/>
      <c r="S5" s="10"/>
      <c r="T5" s="10"/>
      <c r="U5" s="9"/>
      <c r="V5" s="10"/>
      <c r="W5" s="10"/>
      <c r="X5" s="20"/>
      <c r="Y5" s="20"/>
      <c r="Z5" s="66"/>
      <c r="AA5" s="66"/>
      <c r="AB5" s="20"/>
      <c r="AC5" s="10"/>
      <c r="AD5" s="66"/>
      <c r="AE5" s="20"/>
      <c r="AF5" s="10"/>
      <c r="AG5" s="10"/>
      <c r="AH5" s="10"/>
      <c r="AI5" s="10"/>
      <c r="AJ5" s="10"/>
      <c r="AK5" s="10"/>
      <c r="AL5" s="10"/>
      <c r="AM5" s="31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89"/>
      <c r="BB5" s="89"/>
      <c r="BC5" s="89"/>
      <c r="BD5" s="89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07"/>
      <c r="BY5" s="112"/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2"/>
    </row>
    <row r="6" ht="30" customHeight="1">
      <c r="B6" s="367"/>
      <c r="C6" s="11" t="s">
        <v>188</v>
      </c>
      <c r="D6" s="12" t="s">
        <v>197</v>
      </c>
      <c r="E6" s="13"/>
      <c r="F6" s="14"/>
      <c r="G6" s="10"/>
      <c r="H6" s="10"/>
      <c r="I6" s="10"/>
      <c r="J6" s="10"/>
      <c r="K6" s="10"/>
      <c r="L6" s="31"/>
      <c r="M6" s="32"/>
      <c r="N6" s="32"/>
      <c r="O6" s="29"/>
      <c r="P6" s="30"/>
      <c r="Q6" s="29"/>
      <c r="R6" s="29"/>
      <c r="S6" s="44"/>
      <c r="T6" s="45"/>
      <c r="U6" s="45"/>
      <c r="V6" s="46"/>
      <c r="W6" s="47"/>
      <c r="X6" s="47"/>
      <c r="Y6" s="47"/>
      <c r="Z6" s="47"/>
      <c r="AA6" s="66"/>
      <c r="AB6" s="66"/>
      <c r="AC6" s="66"/>
      <c r="AD6" s="66"/>
      <c r="AE6" s="20"/>
      <c r="AF6" s="10"/>
      <c r="AG6" s="10"/>
      <c r="AH6" s="10"/>
      <c r="AI6" s="10"/>
      <c r="AJ6" s="10"/>
      <c r="AK6" s="10"/>
      <c r="AL6" s="10"/>
      <c r="AM6" s="31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89"/>
      <c r="BB6" s="89"/>
      <c r="BC6" s="89"/>
      <c r="BD6" s="89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07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</row>
    <row r="7" ht="30" customHeight="1">
      <c r="B7" s="367"/>
      <c r="C7" s="11" t="s">
        <v>195</v>
      </c>
      <c r="D7" s="12" t="s">
        <v>197</v>
      </c>
      <c r="E7" s="13"/>
      <c r="F7" s="14"/>
      <c r="G7" s="10"/>
      <c r="H7" s="10"/>
      <c r="I7" s="10"/>
      <c r="J7" s="10"/>
      <c r="K7" s="10"/>
      <c r="L7" s="10"/>
      <c r="M7" s="33"/>
      <c r="N7" s="32"/>
      <c r="O7" s="34"/>
      <c r="P7" s="34"/>
      <c r="Q7" s="34"/>
      <c r="R7" s="34"/>
      <c r="S7" s="70"/>
      <c r="T7" s="81"/>
      <c r="U7" s="70"/>
      <c r="V7" s="81"/>
      <c r="W7" s="81"/>
      <c r="X7" s="10"/>
      <c r="Y7" s="10"/>
      <c r="Z7" s="10"/>
      <c r="AA7" s="67"/>
      <c r="AB7" s="66"/>
      <c r="AC7" s="66"/>
      <c r="AD7" s="66"/>
      <c r="AE7" s="10"/>
      <c r="AF7" s="10"/>
      <c r="AG7" s="10"/>
      <c r="AH7" s="10"/>
      <c r="AI7" s="10"/>
      <c r="AJ7" s="10"/>
      <c r="AK7" s="10"/>
      <c r="AL7" s="10"/>
      <c r="AM7" s="31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89"/>
      <c r="BB7" s="89"/>
      <c r="BC7" s="89"/>
      <c r="BD7" s="89"/>
      <c r="BE7" s="112"/>
      <c r="BF7" s="112"/>
      <c r="BG7" s="112"/>
      <c r="BH7" s="112"/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2"/>
      <c r="BU7" s="112"/>
      <c r="BV7" s="112"/>
      <c r="BW7" s="112"/>
      <c r="BX7" s="107"/>
      <c r="BY7" s="112"/>
      <c r="BZ7" s="112"/>
      <c r="CA7" s="112"/>
      <c r="CB7" s="112"/>
      <c r="CC7" s="112"/>
      <c r="CD7" s="112"/>
      <c r="CE7" s="112"/>
      <c r="CF7" s="112"/>
      <c r="CG7" s="112"/>
      <c r="CH7" s="112"/>
      <c r="CI7" s="112"/>
      <c r="CJ7" s="112"/>
      <c r="CK7" s="112"/>
      <c r="CL7" s="112"/>
      <c r="CM7" s="112"/>
      <c r="CN7" s="112"/>
      <c r="CO7" s="112"/>
    </row>
    <row r="8" ht="30" customHeight="1">
      <c r="B8" s="367"/>
      <c r="C8" s="11" t="s">
        <v>196</v>
      </c>
      <c r="D8" s="12" t="s">
        <v>197</v>
      </c>
      <c r="E8" s="13"/>
      <c r="F8" s="14"/>
      <c r="G8" s="10"/>
      <c r="H8" s="10"/>
      <c r="I8" s="10"/>
      <c r="J8" s="10"/>
      <c r="K8" s="10"/>
      <c r="L8" s="10"/>
      <c r="M8" s="31"/>
      <c r="N8" s="32"/>
      <c r="O8" s="34"/>
      <c r="P8" s="34"/>
      <c r="Q8" s="34"/>
      <c r="R8" s="34"/>
      <c r="S8" s="70"/>
      <c r="T8" s="81"/>
      <c r="U8" s="70"/>
      <c r="V8" s="81"/>
      <c r="W8" s="81"/>
      <c r="X8" s="10"/>
      <c r="Y8" s="10"/>
      <c r="Z8" s="10"/>
      <c r="AA8" s="67"/>
      <c r="AB8" s="10"/>
      <c r="AC8" s="10"/>
      <c r="AD8" s="66"/>
      <c r="AE8" s="10"/>
      <c r="AF8" s="10"/>
      <c r="AG8" s="10"/>
      <c r="AH8" s="10"/>
      <c r="AI8" s="10"/>
      <c r="AJ8" s="10"/>
      <c r="AK8" s="10"/>
      <c r="AL8" s="10"/>
      <c r="AM8" s="31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89"/>
      <c r="BB8" s="89"/>
      <c r="BC8" s="89"/>
      <c r="BD8" s="89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07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</row>
    <row r="9" ht="30" customHeight="1">
      <c r="B9" s="367"/>
      <c r="C9" s="11" t="s">
        <v>198</v>
      </c>
      <c r="D9" s="12" t="s">
        <v>197</v>
      </c>
      <c r="E9" s="13"/>
      <c r="F9" s="14"/>
      <c r="G9" s="10"/>
      <c r="H9" s="10"/>
      <c r="I9" s="10"/>
      <c r="J9" s="10"/>
      <c r="K9" s="10"/>
      <c r="L9" s="10"/>
      <c r="M9" s="31"/>
      <c r="N9" s="32"/>
      <c r="O9" s="38"/>
      <c r="P9" s="38"/>
      <c r="Q9" s="38"/>
      <c r="R9" s="38"/>
      <c r="S9" s="70"/>
      <c r="T9" s="81"/>
      <c r="U9" s="70"/>
      <c r="V9" s="81"/>
      <c r="W9" s="81"/>
      <c r="X9" s="81"/>
      <c r="Y9" s="10"/>
      <c r="Z9" s="67"/>
      <c r="AA9" s="67"/>
      <c r="AB9" s="10"/>
      <c r="AC9" s="66"/>
      <c r="AD9" s="66"/>
      <c r="AE9" s="10"/>
      <c r="AF9" s="10"/>
      <c r="AG9" s="10"/>
      <c r="AH9" s="10"/>
      <c r="AI9" s="10"/>
      <c r="AJ9" s="10"/>
      <c r="AK9" s="10"/>
      <c r="AL9" s="10"/>
      <c r="AM9" s="31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89"/>
      <c r="BB9" s="89"/>
      <c r="BC9" s="89"/>
      <c r="BD9" s="89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07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</row>
    <row r="10" ht="30" customHeight="1">
      <c r="B10" s="367"/>
      <c r="C10" s="11" t="s">
        <v>199</v>
      </c>
      <c r="D10" s="12" t="s">
        <v>197</v>
      </c>
      <c r="E10" s="13"/>
      <c r="F10" s="14"/>
      <c r="G10" s="10"/>
      <c r="H10" s="10"/>
      <c r="I10" s="10"/>
      <c r="J10" s="10"/>
      <c r="K10" s="10"/>
      <c r="L10" s="10"/>
      <c r="M10" s="31"/>
      <c r="N10" s="32"/>
      <c r="O10" s="38"/>
      <c r="P10" s="38"/>
      <c r="Q10" s="38"/>
      <c r="R10" s="38"/>
      <c r="S10" s="70"/>
      <c r="T10" s="49"/>
      <c r="U10" s="32"/>
      <c r="V10" s="32"/>
      <c r="W10" s="32"/>
      <c r="X10" s="50"/>
      <c r="Y10" s="10"/>
      <c r="Z10" s="67"/>
      <c r="AA10" s="67"/>
      <c r="AB10" s="67"/>
      <c r="AC10" s="10"/>
      <c r="AD10" s="66"/>
      <c r="AE10" s="10"/>
      <c r="AF10" s="10"/>
      <c r="AG10" s="10"/>
      <c r="AH10" s="10"/>
      <c r="AI10" s="10"/>
      <c r="AJ10" s="10"/>
      <c r="AK10" s="10"/>
      <c r="AL10" s="10"/>
      <c r="AM10" s="31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89"/>
      <c r="BB10" s="89"/>
      <c r="BC10" s="89"/>
      <c r="BD10" s="89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07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</row>
    <row r="11" ht="30" customHeight="1">
      <c r="B11" s="367"/>
      <c r="C11" s="11" t="s">
        <v>200</v>
      </c>
      <c r="D11" s="12" t="s">
        <v>224</v>
      </c>
      <c r="E11" s="13"/>
      <c r="F11" s="14"/>
      <c r="G11" s="10"/>
      <c r="H11" s="10"/>
      <c r="I11" s="10"/>
      <c r="J11" s="10"/>
      <c r="K11" s="10"/>
      <c r="L11" s="10"/>
      <c r="M11" s="31"/>
      <c r="N11" s="36"/>
      <c r="O11" s="36"/>
      <c r="P11" s="36"/>
      <c r="Q11" s="36"/>
      <c r="R11" s="51"/>
      <c r="S11" s="81"/>
      <c r="T11" s="81"/>
      <c r="U11" s="70"/>
      <c r="V11" s="81"/>
      <c r="W11" s="81"/>
      <c r="X11" s="10"/>
      <c r="Y11" s="10"/>
      <c r="Z11" s="10"/>
      <c r="AA11" s="68"/>
      <c r="AB11" s="68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31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89"/>
      <c r="BB11" s="89"/>
      <c r="BC11" s="89"/>
      <c r="BD11" s="89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07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</row>
    <row r="12" ht="30" customHeight="1">
      <c r="B12" s="368"/>
      <c r="C12" s="12" t="s">
        <v>202</v>
      </c>
      <c r="D12" s="8" t="s">
        <v>203</v>
      </c>
      <c r="E12" s="13"/>
      <c r="F12" s="14"/>
      <c r="G12" s="10"/>
      <c r="H12" s="10"/>
      <c r="I12" s="10"/>
      <c r="J12" s="10"/>
      <c r="K12" s="10"/>
      <c r="L12" s="10"/>
      <c r="M12" s="31"/>
      <c r="N12" s="8"/>
      <c r="O12" s="8"/>
      <c r="P12" s="32"/>
      <c r="Q12" s="32"/>
      <c r="R12" s="52"/>
      <c r="S12" s="81"/>
      <c r="T12" s="81"/>
      <c r="U12" s="70"/>
      <c r="V12" s="81"/>
      <c r="W12" s="81"/>
      <c r="X12" s="81"/>
      <c r="Y12" s="81"/>
      <c r="Z12" s="81"/>
      <c r="AA12" s="10"/>
      <c r="AB12" s="69"/>
      <c r="AC12" s="69"/>
      <c r="AD12" s="69"/>
      <c r="AE12" s="10"/>
      <c r="AF12" s="10"/>
      <c r="AG12" s="10"/>
      <c r="AH12" s="10"/>
      <c r="AI12" s="10"/>
      <c r="AJ12" s="10"/>
      <c r="AK12" s="10"/>
      <c r="AL12" s="10"/>
      <c r="AM12" s="80"/>
      <c r="AN12" s="86"/>
      <c r="AO12" s="86"/>
      <c r="AP12" s="86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89"/>
      <c r="BB12" s="89"/>
      <c r="BC12" s="89"/>
      <c r="BD12" s="89"/>
      <c r="BE12" s="112"/>
      <c r="BF12" s="112"/>
      <c r="BG12" s="112"/>
      <c r="BH12" s="112"/>
      <c r="BI12" s="112"/>
      <c r="BJ12" s="112"/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07"/>
      <c r="BY12" s="112"/>
      <c r="BZ12" s="112"/>
      <c r="CA12" s="112"/>
      <c r="CB12" s="112"/>
      <c r="CC12" s="112"/>
      <c r="CD12" s="112"/>
      <c r="CE12" s="112"/>
      <c r="CF12" s="112"/>
      <c r="CG12" s="112"/>
      <c r="CH12" s="112"/>
      <c r="CI12" s="112"/>
      <c r="CJ12" s="112"/>
      <c r="CK12" s="112"/>
      <c r="CL12" s="112"/>
      <c r="CM12" s="112"/>
      <c r="CN12" s="112"/>
      <c r="CO12" s="112"/>
    </row>
    <row r="13" ht="30" customHeight="1">
      <c r="B13" s="15"/>
      <c r="C13" s="16" t="s">
        <v>204</v>
      </c>
      <c r="D13" s="8" t="s">
        <v>205</v>
      </c>
      <c r="E13" s="13"/>
      <c r="F13" s="14"/>
      <c r="G13" s="10"/>
      <c r="H13" s="10"/>
      <c r="I13" s="10"/>
      <c r="J13" s="10"/>
      <c r="K13" s="10"/>
      <c r="L13" s="10"/>
      <c r="M13" s="31"/>
      <c r="N13" s="8"/>
      <c r="O13" s="8"/>
      <c r="P13" s="32"/>
      <c r="Q13" s="32"/>
      <c r="R13" s="53"/>
      <c r="S13" s="86"/>
      <c r="T13" s="86"/>
      <c r="U13" s="55"/>
      <c r="V13" s="86"/>
      <c r="W13" s="86"/>
      <c r="X13" s="56"/>
      <c r="Y13" s="86"/>
      <c r="Z13" s="86"/>
      <c r="AA13" s="70"/>
      <c r="AB13" s="71"/>
      <c r="AC13" s="72"/>
      <c r="AD13" s="72"/>
      <c r="AE13" s="72"/>
      <c r="AF13" s="72"/>
      <c r="AG13" s="72"/>
      <c r="AH13" s="72"/>
      <c r="AI13" s="72"/>
      <c r="AJ13" s="72"/>
      <c r="AK13" s="81"/>
      <c r="AL13" s="81"/>
      <c r="AM13" s="49"/>
      <c r="AN13" s="32"/>
      <c r="AO13" s="32"/>
      <c r="AP13" s="32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91"/>
      <c r="BB13" s="91"/>
      <c r="BC13" s="91"/>
      <c r="BD13" s="91"/>
      <c r="BE13" s="98"/>
      <c r="BF13" s="98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07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</row>
    <row r="14" ht="30" customHeight="1">
      <c r="B14" s="15"/>
      <c r="C14" s="17" t="s">
        <v>206</v>
      </c>
      <c r="D14" s="8" t="s">
        <v>252</v>
      </c>
      <c r="E14" s="13"/>
      <c r="F14" s="14"/>
      <c r="G14" s="10"/>
      <c r="H14" s="10"/>
      <c r="I14" s="10"/>
      <c r="J14" s="10"/>
      <c r="K14" s="10"/>
      <c r="L14" s="10"/>
      <c r="M14" s="31"/>
      <c r="N14" s="8"/>
      <c r="O14" s="8"/>
      <c r="P14" s="32"/>
      <c r="Q14" s="32"/>
      <c r="R14" s="32"/>
      <c r="S14" s="32"/>
      <c r="T14" s="32"/>
      <c r="U14" s="32"/>
      <c r="V14" s="32"/>
      <c r="W14" s="32"/>
      <c r="X14" s="57"/>
      <c r="Y14" s="32"/>
      <c r="Z14" s="32"/>
      <c r="AA14" s="70"/>
      <c r="AB14" s="73"/>
      <c r="AC14" s="74"/>
      <c r="AD14" s="74"/>
      <c r="AE14" s="75"/>
      <c r="AF14" s="76"/>
      <c r="AG14" s="76"/>
      <c r="AH14" s="76"/>
      <c r="AI14" s="76"/>
      <c r="AJ14" s="76"/>
      <c r="AK14" s="81"/>
      <c r="AL14" s="81"/>
      <c r="AM14" s="49"/>
      <c r="AN14" s="32"/>
      <c r="AO14" s="32"/>
      <c r="AP14" s="32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91"/>
      <c r="BB14" s="91"/>
      <c r="BC14" s="91"/>
      <c r="BD14" s="91"/>
      <c r="BE14" s="98"/>
      <c r="BF14" s="98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07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</row>
    <row r="15" ht="27" customHeight="1">
      <c r="B15" s="365" t="s">
        <v>222</v>
      </c>
      <c r="C15" s="12" t="s">
        <v>223</v>
      </c>
      <c r="D15" s="12" t="s">
        <v>224</v>
      </c>
      <c r="E15" s="13"/>
      <c r="F15" s="14"/>
      <c r="G15" s="10"/>
      <c r="H15" s="10"/>
      <c r="I15" s="10"/>
      <c r="J15" s="10"/>
      <c r="K15" s="10"/>
      <c r="L15" s="10"/>
      <c r="M15" s="31"/>
      <c r="N15" s="32"/>
      <c r="O15" s="8"/>
      <c r="P15" s="8"/>
      <c r="Q15" s="8"/>
      <c r="R15" s="32"/>
      <c r="S15" s="32"/>
      <c r="T15" s="32"/>
      <c r="U15" s="32"/>
      <c r="V15" s="32"/>
      <c r="W15" s="32"/>
      <c r="X15" s="32"/>
      <c r="Y15" s="28"/>
      <c r="Z15" s="86"/>
      <c r="AA15" s="32"/>
      <c r="AB15" s="32"/>
      <c r="AC15" s="32"/>
      <c r="AD15" s="32"/>
      <c r="AE15" s="32"/>
      <c r="AF15" s="78"/>
      <c r="AG15" s="78"/>
      <c r="AH15" s="78"/>
      <c r="AI15" s="78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89"/>
      <c r="BE15" s="89"/>
      <c r="BF15" s="89"/>
      <c r="BG15" s="89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07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</row>
    <row r="16" ht="27" customHeight="1">
      <c r="B16" s="366"/>
      <c r="C16" s="12" t="s">
        <v>225</v>
      </c>
      <c r="D16" s="12" t="s">
        <v>224</v>
      </c>
      <c r="E16" s="13"/>
      <c r="F16" s="14"/>
      <c r="G16" s="10"/>
      <c r="H16" s="10"/>
      <c r="I16" s="10"/>
      <c r="J16" s="10"/>
      <c r="K16" s="10"/>
      <c r="L16" s="10"/>
      <c r="M16" s="31"/>
      <c r="N16" s="32"/>
      <c r="O16" s="8"/>
      <c r="P16" s="8"/>
      <c r="Q16" s="8"/>
      <c r="R16" s="32"/>
      <c r="S16" s="32"/>
      <c r="T16" s="32"/>
      <c r="U16" s="32"/>
      <c r="V16" s="32"/>
      <c r="W16" s="32"/>
      <c r="X16" s="32"/>
      <c r="Y16" s="28"/>
      <c r="Z16" s="86"/>
      <c r="AA16" s="32"/>
      <c r="AB16" s="32"/>
      <c r="AC16" s="32"/>
      <c r="AD16" s="32"/>
      <c r="AE16" s="32"/>
      <c r="AF16" s="38"/>
      <c r="AG16" s="38"/>
      <c r="AH16" s="38"/>
      <c r="AI16" s="32"/>
      <c r="AJ16" s="82"/>
      <c r="AK16" s="8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89"/>
      <c r="BE16" s="89"/>
      <c r="BF16" s="89"/>
      <c r="BG16" s="89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07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</row>
    <row r="17" ht="27" customHeight="1">
      <c r="B17" s="366"/>
      <c r="C17" s="12" t="s">
        <v>226</v>
      </c>
      <c r="D17" s="12" t="s">
        <v>224</v>
      </c>
      <c r="E17" s="13"/>
      <c r="F17" s="14"/>
      <c r="G17" s="10"/>
      <c r="H17" s="10"/>
      <c r="I17" s="10"/>
      <c r="J17" s="10"/>
      <c r="K17" s="10"/>
      <c r="L17" s="10"/>
      <c r="M17" s="31"/>
      <c r="N17" s="32"/>
      <c r="O17" s="8"/>
      <c r="P17" s="8"/>
      <c r="Q17" s="8"/>
      <c r="R17" s="32"/>
      <c r="S17" s="32"/>
      <c r="T17" s="32"/>
      <c r="U17" s="32"/>
      <c r="V17" s="32"/>
      <c r="W17" s="32"/>
      <c r="X17" s="32"/>
      <c r="Y17" s="28"/>
      <c r="Z17" s="86"/>
      <c r="AA17" s="32"/>
      <c r="AB17" s="32"/>
      <c r="AC17" s="32"/>
      <c r="AD17" s="32"/>
      <c r="AE17" s="32"/>
      <c r="AF17" s="38"/>
      <c r="AG17" s="38"/>
      <c r="AH17" s="38"/>
      <c r="AI17" s="32"/>
      <c r="AJ17" s="32"/>
      <c r="AK17" s="32"/>
      <c r="AL17" s="82"/>
      <c r="AM17" s="8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89"/>
      <c r="BE17" s="89"/>
      <c r="BF17" s="89"/>
      <c r="BG17" s="89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07"/>
      <c r="BY17" s="112"/>
      <c r="BZ17" s="112"/>
      <c r="CA17" s="112"/>
      <c r="CB17" s="112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</row>
    <row r="18" ht="30" customHeight="1">
      <c r="B18" s="366"/>
      <c r="C18" s="12" t="s">
        <v>227</v>
      </c>
      <c r="D18" s="12" t="s">
        <v>224</v>
      </c>
      <c r="E18" s="13"/>
      <c r="F18" s="14"/>
      <c r="G18" s="10"/>
      <c r="H18" s="10"/>
      <c r="I18" s="10"/>
      <c r="J18" s="10"/>
      <c r="K18" s="10"/>
      <c r="L18" s="10"/>
      <c r="M18" s="31"/>
      <c r="N18" s="32"/>
      <c r="O18" s="8"/>
      <c r="P18" s="8"/>
      <c r="Q18" s="8"/>
      <c r="R18" s="32"/>
      <c r="S18" s="8"/>
      <c r="T18" s="8"/>
      <c r="U18" s="8"/>
      <c r="V18" s="8"/>
      <c r="W18" s="8"/>
      <c r="X18" s="8"/>
      <c r="Y18" s="8"/>
      <c r="Z18" s="8"/>
      <c r="AA18" s="79"/>
      <c r="AB18" s="79"/>
      <c r="AC18" s="79"/>
      <c r="AD18" s="79"/>
      <c r="AE18" s="79"/>
      <c r="AF18" s="79"/>
      <c r="AG18" s="79"/>
      <c r="AH18" s="79"/>
      <c r="AI18" s="83"/>
      <c r="AJ18" s="83"/>
      <c r="AK18" s="83"/>
      <c r="AL18" s="83"/>
      <c r="AM18" s="83"/>
      <c r="AN18" s="84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39"/>
      <c r="BB18" s="39"/>
      <c r="BC18" s="39"/>
      <c r="BD18" s="39"/>
      <c r="BE18" s="39"/>
      <c r="BF18" s="33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89"/>
      <c r="BU18" s="89"/>
      <c r="BV18" s="89"/>
      <c r="BW18" s="89"/>
      <c r="BX18" s="107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</row>
    <row r="19" ht="30.599999999999998" customHeight="1">
      <c r="B19" s="366"/>
      <c r="C19" s="18" t="s">
        <v>228</v>
      </c>
      <c r="D19" s="18" t="s">
        <v>253</v>
      </c>
      <c r="E19" s="19"/>
      <c r="F19" s="20"/>
      <c r="G19" s="20"/>
      <c r="H19" s="20"/>
      <c r="I19" s="20"/>
      <c r="J19" s="20"/>
      <c r="K19" s="20"/>
      <c r="L19" s="20"/>
      <c r="M19" s="101"/>
      <c r="N19" s="38"/>
      <c r="O19" s="8"/>
      <c r="P19" s="8"/>
      <c r="Q19" s="8"/>
      <c r="R19" s="32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26"/>
      <c r="AG19" s="26"/>
      <c r="AH19" s="26"/>
      <c r="AI19" s="26"/>
      <c r="AJ19" s="26"/>
      <c r="AK19" s="26"/>
      <c r="AL19" s="26"/>
      <c r="AM19" s="26"/>
      <c r="AN19" s="85"/>
      <c r="AO19" s="66"/>
      <c r="AP19" s="66"/>
      <c r="AQ19" s="66"/>
      <c r="AR19" s="66"/>
      <c r="AS19" s="66"/>
      <c r="AT19" s="66"/>
      <c r="AU19" s="66"/>
      <c r="AV19" s="66"/>
      <c r="AW19" s="10"/>
      <c r="AX19" s="81"/>
      <c r="AY19" s="92"/>
      <c r="AZ19" s="92"/>
      <c r="BA19" s="92"/>
      <c r="BB19" s="92"/>
      <c r="BC19" s="92"/>
      <c r="BD19" s="81"/>
      <c r="BE19" s="81"/>
      <c r="BF19" s="31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89"/>
      <c r="BU19" s="89"/>
      <c r="BV19" s="89"/>
      <c r="BW19" s="89"/>
      <c r="BX19" s="107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</row>
    <row r="20" ht="30.599999999999998" customHeight="1">
      <c r="B20" s="366"/>
      <c r="C20" s="12" t="s">
        <v>230</v>
      </c>
      <c r="D20" s="12" t="s">
        <v>224</v>
      </c>
      <c r="E20" s="13"/>
      <c r="F20" s="14"/>
      <c r="G20" s="10"/>
      <c r="H20" s="10"/>
      <c r="I20" s="10"/>
      <c r="J20" s="10"/>
      <c r="K20" s="10"/>
      <c r="L20" s="10"/>
      <c r="M20" s="31"/>
      <c r="N20" s="32"/>
      <c r="O20" s="8"/>
      <c r="P20" s="8"/>
      <c r="Q20" s="8"/>
      <c r="R20" s="32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2"/>
      <c r="AJ20" s="32"/>
      <c r="AK20" s="32"/>
      <c r="AL20" s="32"/>
      <c r="AM20" s="32"/>
      <c r="AN20" s="9"/>
      <c r="AO20" s="10"/>
      <c r="AP20" s="10"/>
      <c r="AQ20" s="10"/>
      <c r="AR20" s="10"/>
      <c r="AS20" s="10"/>
      <c r="AT20" s="10"/>
      <c r="AU20" s="10"/>
      <c r="AV20" s="10"/>
      <c r="AW20" s="31"/>
      <c r="AX20" s="32"/>
      <c r="AY20" s="93"/>
      <c r="AZ20" s="93"/>
      <c r="BA20" s="93"/>
      <c r="BB20" s="93"/>
      <c r="BC20" s="93"/>
      <c r="BD20" s="93"/>
      <c r="BE20" s="93"/>
      <c r="BF20" s="99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89"/>
      <c r="BU20" s="89"/>
      <c r="BV20" s="89"/>
      <c r="BW20" s="89"/>
      <c r="BX20" s="107"/>
      <c r="BY20" s="112"/>
      <c r="BZ20" s="112"/>
      <c r="CA20" s="112"/>
      <c r="CB20" s="112"/>
      <c r="CC20" s="112"/>
      <c r="CD20" s="112"/>
      <c r="CE20" s="112"/>
      <c r="CF20" s="112"/>
      <c r="CG20" s="112"/>
      <c r="CH20" s="112"/>
      <c r="CI20" s="112"/>
      <c r="CJ20" s="112"/>
      <c r="CK20" s="112"/>
      <c r="CL20" s="112"/>
      <c r="CM20" s="112"/>
      <c r="CN20" s="112"/>
      <c r="CO20" s="112"/>
    </row>
    <row r="21" ht="30.599999999999998" customHeight="1">
      <c r="B21" s="366"/>
      <c r="C21" s="12" t="s">
        <v>231</v>
      </c>
      <c r="D21" s="12" t="s">
        <v>232</v>
      </c>
      <c r="E21" s="13"/>
      <c r="F21" s="14"/>
      <c r="G21" s="10"/>
      <c r="H21" s="10"/>
      <c r="I21" s="10"/>
      <c r="J21" s="10"/>
      <c r="K21" s="10"/>
      <c r="L21" s="10"/>
      <c r="M21" s="31"/>
      <c r="N21" s="32"/>
      <c r="O21" s="8"/>
      <c r="P21" s="8"/>
      <c r="Q21" s="8"/>
      <c r="R21" s="32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2"/>
      <c r="AJ21" s="32"/>
      <c r="AK21" s="32"/>
      <c r="AL21" s="32"/>
      <c r="AM21" s="32"/>
      <c r="AN21" s="9"/>
      <c r="AO21" s="10"/>
      <c r="AP21" s="10"/>
      <c r="AQ21" s="10"/>
      <c r="AR21" s="10"/>
      <c r="AS21" s="10"/>
      <c r="AT21" s="10"/>
      <c r="AU21" s="10"/>
      <c r="AV21" s="10"/>
      <c r="AW21" s="31"/>
      <c r="AX21" s="32"/>
      <c r="AY21" s="38"/>
      <c r="AZ21" s="38"/>
      <c r="BA21" s="38"/>
      <c r="BB21" s="38"/>
      <c r="BC21" s="38"/>
      <c r="BD21" s="38"/>
      <c r="BE21" s="93"/>
      <c r="BF21" s="93"/>
      <c r="BG21" s="93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89"/>
      <c r="BU21" s="89"/>
      <c r="BV21" s="89"/>
      <c r="BW21" s="89"/>
      <c r="BX21" s="107"/>
      <c r="BY21" s="112"/>
      <c r="BZ21" s="112"/>
      <c r="CA21" s="112"/>
      <c r="CB21" s="112"/>
      <c r="CC21" s="112"/>
      <c r="CD21" s="112"/>
      <c r="CE21" s="112"/>
      <c r="CF21" s="112"/>
      <c r="CG21" s="112"/>
      <c r="CH21" s="112"/>
      <c r="CI21" s="112"/>
      <c r="CJ21" s="112"/>
      <c r="CK21" s="112"/>
      <c r="CL21" s="112"/>
      <c r="CM21" s="112"/>
      <c r="CN21" s="112"/>
      <c r="CO21" s="112"/>
    </row>
    <row r="22" ht="30" customHeight="1">
      <c r="B22" s="366"/>
      <c r="C22" s="12" t="s">
        <v>233</v>
      </c>
      <c r="D22" s="12" t="s">
        <v>224</v>
      </c>
      <c r="E22" s="13"/>
      <c r="F22" s="14"/>
      <c r="G22" s="10"/>
      <c r="H22" s="10"/>
      <c r="I22" s="10"/>
      <c r="J22" s="10"/>
      <c r="K22" s="10"/>
      <c r="L22" s="10"/>
      <c r="M22" s="31"/>
      <c r="N22" s="32"/>
      <c r="O22" s="8"/>
      <c r="P22" s="8"/>
      <c r="Q22" s="8"/>
      <c r="R22" s="32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2"/>
      <c r="AJ22" s="32"/>
      <c r="AK22" s="32"/>
      <c r="AL22" s="32"/>
      <c r="AM22" s="32"/>
      <c r="AN22" s="9"/>
      <c r="AO22" s="10"/>
      <c r="AP22" s="10"/>
      <c r="AQ22" s="10"/>
      <c r="AR22" s="10"/>
      <c r="AS22" s="10"/>
      <c r="AT22" s="10"/>
      <c r="AU22" s="10"/>
      <c r="AV22" s="10"/>
      <c r="AW22" s="31"/>
      <c r="AX22" s="36"/>
      <c r="AY22" s="36"/>
      <c r="AZ22" s="36"/>
      <c r="BA22" s="36"/>
      <c r="BB22" s="36"/>
      <c r="BC22" s="94"/>
      <c r="BD22" s="95"/>
      <c r="BE22" s="100"/>
      <c r="BF22" s="101"/>
      <c r="BG22" s="62"/>
      <c r="BH22" s="62"/>
      <c r="BI22" s="62"/>
      <c r="BJ22" s="62"/>
      <c r="BK22" s="62"/>
      <c r="BL22" s="62"/>
      <c r="BM22" s="62"/>
      <c r="BN22" s="62"/>
      <c r="BO22" s="32"/>
      <c r="BP22" s="32"/>
      <c r="BQ22" s="32"/>
      <c r="BR22" s="32"/>
      <c r="BS22" s="32"/>
      <c r="BT22" s="89"/>
      <c r="BU22" s="89"/>
      <c r="BV22" s="89"/>
      <c r="BW22" s="89"/>
      <c r="BX22" s="107"/>
      <c r="BY22" s="112"/>
      <c r="BZ22" s="112"/>
      <c r="CA22" s="112"/>
      <c r="CB22" s="112"/>
      <c r="CC22" s="112"/>
      <c r="CD22" s="112"/>
      <c r="CE22" s="112"/>
      <c r="CF22" s="112"/>
      <c r="CG22" s="112"/>
      <c r="CH22" s="112"/>
      <c r="CI22" s="112"/>
      <c r="CJ22" s="112"/>
      <c r="CK22" s="112"/>
      <c r="CL22" s="112"/>
      <c r="CM22" s="112"/>
      <c r="CN22" s="112"/>
      <c r="CO22" s="112"/>
    </row>
    <row r="23" ht="30" customHeight="1">
      <c r="B23" s="366"/>
      <c r="C23" s="12" t="s">
        <v>234</v>
      </c>
      <c r="D23" s="12" t="s">
        <v>235</v>
      </c>
      <c r="E23" s="21"/>
      <c r="F23" s="22"/>
      <c r="G23" s="10"/>
      <c r="H23" s="10"/>
      <c r="I23" s="10"/>
      <c r="J23" s="10"/>
      <c r="K23" s="10"/>
      <c r="L23" s="10"/>
      <c r="M23" s="31"/>
      <c r="N23" s="32"/>
      <c r="O23" s="8"/>
      <c r="P23" s="8"/>
      <c r="Q23" s="8"/>
      <c r="R23" s="32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2"/>
      <c r="AJ23" s="32"/>
      <c r="AK23" s="32"/>
      <c r="AL23" s="32"/>
      <c r="AM23" s="32"/>
      <c r="AN23" s="9"/>
      <c r="AO23" s="10"/>
      <c r="AP23" s="10"/>
      <c r="AQ23" s="10"/>
      <c r="AR23" s="10"/>
      <c r="AS23" s="10"/>
      <c r="AT23" s="10"/>
      <c r="AU23" s="10"/>
      <c r="AV23" s="10"/>
      <c r="AW23" s="10"/>
      <c r="AX23" s="39"/>
      <c r="AY23" s="39"/>
      <c r="AZ23" s="39"/>
      <c r="BA23" s="39"/>
      <c r="BB23" s="39"/>
      <c r="BC23" s="39"/>
      <c r="BD23" s="10"/>
      <c r="BE23" s="10"/>
      <c r="BF23" s="31"/>
      <c r="BG23" s="32"/>
      <c r="BH23" s="32"/>
      <c r="BI23" s="31"/>
      <c r="BJ23" s="38"/>
      <c r="BK23" s="38"/>
      <c r="BL23" s="183"/>
      <c r="BM23" s="32"/>
      <c r="BN23" s="32"/>
      <c r="BO23" s="103"/>
      <c r="BP23" s="103"/>
      <c r="BQ23" s="32"/>
      <c r="BR23" s="32"/>
      <c r="BS23" s="32"/>
      <c r="BT23" s="89"/>
      <c r="BU23" s="89"/>
      <c r="BV23" s="89"/>
      <c r="BW23" s="89"/>
      <c r="BX23" s="107"/>
      <c r="BY23" s="112"/>
      <c r="BZ23" s="112"/>
      <c r="CA23" s="112"/>
      <c r="CB23" s="112"/>
      <c r="CC23" s="112"/>
      <c r="CD23" s="112"/>
      <c r="CE23" s="112"/>
      <c r="CF23" s="112"/>
      <c r="CG23" s="112"/>
      <c r="CH23" s="112"/>
      <c r="CI23" s="112"/>
      <c r="CJ23" s="112"/>
      <c r="CK23" s="112"/>
      <c r="CL23" s="112"/>
      <c r="CM23" s="112"/>
      <c r="CN23" s="112"/>
      <c r="CO23" s="112"/>
    </row>
    <row r="24" ht="30" customHeight="1">
      <c r="B24" s="369"/>
      <c r="C24" s="183" t="s">
        <v>236</v>
      </c>
      <c r="D24" s="12" t="s">
        <v>235</v>
      </c>
      <c r="E24" s="13"/>
      <c r="F24" s="14"/>
      <c r="G24" s="9"/>
      <c r="H24" s="10"/>
      <c r="I24" s="10"/>
      <c r="J24" s="10"/>
      <c r="K24" s="10"/>
      <c r="L24" s="10"/>
      <c r="M24" s="31"/>
      <c r="N24" s="32"/>
      <c r="O24" s="8"/>
      <c r="P24" s="8"/>
      <c r="Q24" s="8"/>
      <c r="R24" s="32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2"/>
      <c r="AJ24" s="32"/>
      <c r="AK24" s="32"/>
      <c r="AL24" s="32"/>
      <c r="AM24" s="32"/>
      <c r="AN24" s="9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31"/>
      <c r="BG24" s="32"/>
      <c r="BH24" s="32"/>
      <c r="BI24" s="32"/>
      <c r="BJ24" s="32"/>
      <c r="BK24" s="32"/>
      <c r="BL24" s="38"/>
      <c r="BM24" s="38"/>
      <c r="BN24" s="38"/>
      <c r="BO24" s="38"/>
      <c r="BP24" s="38"/>
      <c r="BQ24" s="104"/>
      <c r="BR24" s="104"/>
      <c r="BS24" s="104"/>
      <c r="BT24" s="104"/>
      <c r="BU24" s="104"/>
      <c r="BV24" s="104"/>
      <c r="BW24" s="104"/>
      <c r="BX24" s="104"/>
      <c r="BY24" s="108"/>
      <c r="BZ24" s="108"/>
      <c r="CA24" s="108"/>
      <c r="CB24" s="108"/>
      <c r="CC24" s="112"/>
      <c r="CD24" s="112"/>
      <c r="CE24" s="112"/>
      <c r="CF24" s="112"/>
      <c r="CG24" s="112"/>
      <c r="CH24" s="112"/>
      <c r="CI24" s="112"/>
      <c r="CJ24" s="112"/>
      <c r="CK24" s="112"/>
      <c r="CL24" s="112"/>
      <c r="CM24" s="112"/>
      <c r="CN24" s="112"/>
      <c r="CO24" s="112"/>
    </row>
    <row r="25" ht="30" customHeight="1">
      <c r="B25" s="370" t="s">
        <v>237</v>
      </c>
      <c r="C25" s="8" t="s">
        <v>238</v>
      </c>
      <c r="D25" s="8" t="s">
        <v>239</v>
      </c>
      <c r="E25" s="13"/>
      <c r="F25" s="14"/>
      <c r="G25" s="10"/>
      <c r="H25" s="10"/>
      <c r="I25" s="10"/>
      <c r="J25" s="10"/>
      <c r="K25" s="10"/>
      <c r="L25" s="10"/>
      <c r="M25" s="10"/>
      <c r="N25" s="39"/>
      <c r="O25" s="39"/>
      <c r="P25" s="40"/>
      <c r="Q25" s="40"/>
      <c r="R25" s="58"/>
      <c r="S25" s="39"/>
      <c r="T25" s="39"/>
      <c r="U25" s="39"/>
      <c r="V25" s="5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10"/>
      <c r="AJ25" s="10"/>
      <c r="AK25" s="10"/>
      <c r="AL25" s="10"/>
      <c r="AM25" s="31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89"/>
      <c r="BB25" s="89"/>
      <c r="BC25" s="89"/>
      <c r="BD25" s="89"/>
      <c r="BE25" s="112"/>
      <c r="BF25" s="112"/>
      <c r="BG25" s="112"/>
      <c r="BH25" s="112"/>
      <c r="BI25" s="112"/>
      <c r="BJ25" s="112"/>
      <c r="BK25" s="112"/>
      <c r="BL25" s="112"/>
      <c r="BM25" s="112"/>
      <c r="BN25" s="112"/>
      <c r="BO25" s="112"/>
      <c r="BP25" s="112"/>
      <c r="BQ25" s="112"/>
      <c r="BR25" s="112"/>
      <c r="BS25" s="112"/>
      <c r="BT25" s="112"/>
      <c r="BU25" s="112"/>
      <c r="BV25" s="112"/>
      <c r="BW25" s="112"/>
      <c r="BX25" s="107"/>
      <c r="BY25" s="112"/>
      <c r="BZ25" s="112"/>
      <c r="CA25" s="112"/>
      <c r="CB25" s="112"/>
      <c r="CC25" s="112"/>
      <c r="CD25" s="112"/>
      <c r="CE25" s="112"/>
      <c r="CF25" s="112"/>
      <c r="CG25" s="112"/>
      <c r="CH25" s="112"/>
      <c r="CI25" s="112"/>
      <c r="CJ25" s="112"/>
      <c r="CK25" s="112"/>
      <c r="CL25" s="112"/>
      <c r="CM25" s="112"/>
      <c r="CN25" s="112"/>
      <c r="CO25" s="112"/>
    </row>
    <row r="26" ht="30" customHeight="1">
      <c r="B26" s="367"/>
      <c r="C26" s="12" t="s">
        <v>240</v>
      </c>
      <c r="D26" s="8" t="s">
        <v>239</v>
      </c>
      <c r="E26" s="23"/>
      <c r="F26" s="24"/>
      <c r="G26" s="81"/>
      <c r="H26" s="81"/>
      <c r="I26" s="81"/>
      <c r="J26" s="81"/>
      <c r="K26" s="81"/>
      <c r="L26" s="81"/>
      <c r="M26" s="81"/>
      <c r="N26" s="81"/>
      <c r="O26" s="81"/>
      <c r="P26" s="41"/>
      <c r="Q26" s="41"/>
      <c r="R26" s="60"/>
      <c r="S26" s="60"/>
      <c r="T26" s="60"/>
      <c r="U26" s="60"/>
      <c r="V26" s="61"/>
      <c r="W26" s="60"/>
      <c r="X26" s="60"/>
      <c r="Y26" s="60"/>
      <c r="Z26" s="60"/>
      <c r="AA26" s="60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0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112"/>
      <c r="BV26" s="112"/>
      <c r="BW26" s="112"/>
      <c r="BX26" s="107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</row>
    <row r="27" ht="30" customHeight="1">
      <c r="B27" s="367"/>
      <c r="C27" s="26" t="s">
        <v>185</v>
      </c>
      <c r="D27" s="8" t="s">
        <v>239</v>
      </c>
      <c r="E27" s="8"/>
      <c r="F27" s="8"/>
      <c r="G27" s="8"/>
      <c r="H27" s="8"/>
      <c r="I27" s="8"/>
      <c r="J27" s="8"/>
      <c r="K27" s="8"/>
      <c r="L27" s="8"/>
      <c r="M27" s="42"/>
      <c r="N27" s="8"/>
      <c r="O27" s="8"/>
      <c r="P27" s="8"/>
      <c r="Q27" s="8"/>
      <c r="R27" s="8"/>
      <c r="S27" s="42"/>
      <c r="T27" s="42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07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2"/>
    </row>
    <row r="28" ht="30" customHeight="1">
      <c r="B28" s="367"/>
      <c r="C28" s="12" t="s">
        <v>241</v>
      </c>
      <c r="D28" s="8" t="s">
        <v>239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62"/>
      <c r="U28" s="62"/>
      <c r="V28" s="62"/>
      <c r="W28" s="62"/>
      <c r="X28" s="63"/>
      <c r="Y28" s="63"/>
      <c r="Z28" s="63"/>
      <c r="AA28" s="63"/>
      <c r="AB28" s="63"/>
      <c r="AC28" s="63"/>
      <c r="AD28" s="63"/>
      <c r="AE28" s="63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07"/>
      <c r="BY28" s="112"/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2"/>
    </row>
    <row r="29" ht="30" customHeight="1">
      <c r="B29" s="367"/>
      <c r="C29" s="27" t="s">
        <v>242</v>
      </c>
      <c r="D29" s="28" t="s">
        <v>239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64"/>
      <c r="R29" s="65"/>
      <c r="S29" s="65"/>
      <c r="T29" s="65"/>
      <c r="U29" s="65"/>
      <c r="V29" s="65"/>
      <c r="W29" s="65"/>
      <c r="X29" s="64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112"/>
      <c r="BV29" s="112"/>
      <c r="BW29" s="112"/>
      <c r="BX29" s="107"/>
      <c r="BY29" s="112"/>
      <c r="BZ29" s="112"/>
      <c r="CA29" s="112"/>
      <c r="CB29" s="112"/>
      <c r="CC29" s="112"/>
      <c r="CD29" s="112"/>
      <c r="CE29" s="112"/>
      <c r="CF29" s="112"/>
      <c r="CG29" s="112"/>
      <c r="CH29" s="112"/>
      <c r="CI29" s="112"/>
      <c r="CJ29" s="112"/>
      <c r="CK29" s="112"/>
      <c r="CL29" s="112"/>
      <c r="CM29" s="112"/>
      <c r="CN29" s="112"/>
      <c r="CO29" s="112"/>
    </row>
    <row r="30" ht="30" customHeight="1">
      <c r="B30" s="365" t="s">
        <v>243</v>
      </c>
      <c r="C30" s="12" t="s">
        <v>244</v>
      </c>
      <c r="D30" s="8" t="s">
        <v>245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42"/>
      <c r="AK30" s="42"/>
      <c r="AL30" s="42"/>
      <c r="AM30" s="42"/>
      <c r="AN30" s="42"/>
      <c r="AO30" s="42"/>
      <c r="AP30" s="42"/>
      <c r="AQ30" s="42"/>
      <c r="AR30" s="8"/>
      <c r="AS30" s="8"/>
      <c r="AT30" s="8"/>
      <c r="AU30" s="8"/>
      <c r="AV30" s="8"/>
      <c r="AW30" s="8"/>
      <c r="AX30" s="8"/>
      <c r="AY30" s="8"/>
      <c r="AZ30" s="8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  <c r="BM30" s="112"/>
      <c r="BN30" s="112"/>
      <c r="BO30" s="112"/>
      <c r="BP30" s="112"/>
      <c r="BQ30" s="112"/>
      <c r="BR30" s="112"/>
      <c r="BS30" s="112"/>
      <c r="BT30" s="112"/>
      <c r="BU30" s="112"/>
      <c r="BV30" s="112"/>
      <c r="BW30" s="112"/>
      <c r="BX30" s="107"/>
      <c r="BY30" s="112"/>
      <c r="BZ30" s="112"/>
      <c r="CA30" s="112"/>
      <c r="CB30" s="112"/>
      <c r="CC30" s="112"/>
      <c r="CD30" s="112"/>
      <c r="CE30" s="112"/>
      <c r="CF30" s="112"/>
      <c r="CG30" s="112"/>
      <c r="CH30" s="112"/>
      <c r="CI30" s="112"/>
      <c r="CJ30" s="112"/>
      <c r="CK30" s="112"/>
      <c r="CL30" s="112"/>
      <c r="CM30" s="112"/>
      <c r="CN30" s="112"/>
      <c r="CO30" s="112"/>
    </row>
    <row r="31" ht="30" customHeight="1">
      <c r="B31" s="366"/>
      <c r="C31" s="8" t="s">
        <v>246</v>
      </c>
      <c r="D31" s="8" t="s">
        <v>247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09"/>
      <c r="BY31" s="110"/>
      <c r="BZ31" s="112"/>
      <c r="CA31" s="112"/>
      <c r="CB31" s="112"/>
      <c r="CC31" s="113"/>
      <c r="CD31" s="113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</row>
    <row r="32" ht="30" customHeight="1">
      <c r="B32" s="366"/>
      <c r="C32" s="18" t="s">
        <v>248</v>
      </c>
      <c r="D32" s="8" t="s">
        <v>247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8"/>
      <c r="AS32" s="88"/>
      <c r="AT32" s="8"/>
      <c r="AU32" s="8"/>
      <c r="AV32" s="8"/>
      <c r="AW32" s="8"/>
      <c r="AX32" s="8"/>
      <c r="AY32" s="8"/>
      <c r="AZ32" s="8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12"/>
      <c r="BP32" s="112"/>
      <c r="BQ32" s="112"/>
      <c r="BR32" s="112"/>
      <c r="BS32" s="112"/>
      <c r="BT32" s="112"/>
      <c r="BU32" s="112"/>
      <c r="BV32" s="112"/>
      <c r="BW32" s="112"/>
      <c r="BX32" s="111"/>
      <c r="BY32" s="8"/>
      <c r="BZ32" s="112"/>
      <c r="CA32" s="112"/>
      <c r="CB32" s="112"/>
      <c r="CC32" s="112"/>
      <c r="CD32" s="112"/>
      <c r="CE32" s="88"/>
      <c r="CF32" s="88"/>
      <c r="CG32" s="88"/>
      <c r="CH32" s="88"/>
      <c r="CI32" s="88"/>
      <c r="CJ32" s="88"/>
      <c r="CK32" s="112"/>
      <c r="CL32" s="112"/>
      <c r="CM32" s="112"/>
      <c r="CN32" s="112"/>
      <c r="CO32" s="112"/>
    </row>
    <row r="33" ht="30" customHeight="1">
      <c r="B33" s="366"/>
      <c r="C33" s="18" t="s">
        <v>249</v>
      </c>
      <c r="D33" s="8" t="s">
        <v>239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  <c r="BQ33" s="112"/>
      <c r="BR33" s="112"/>
      <c r="BS33" s="112"/>
      <c r="BT33" s="112"/>
      <c r="BU33" s="112"/>
      <c r="BV33" s="112"/>
      <c r="BW33" s="112"/>
      <c r="BX33" s="107"/>
      <c r="BY33" s="8"/>
      <c r="BZ33" s="112"/>
      <c r="CA33" s="112"/>
      <c r="CB33" s="112"/>
      <c r="CC33" s="112"/>
      <c r="CD33" s="112"/>
      <c r="CE33" s="112"/>
      <c r="CF33" s="8"/>
      <c r="CG33" s="112"/>
      <c r="CH33" s="112"/>
      <c r="CI33" s="112"/>
      <c r="CJ33" s="112"/>
      <c r="CK33" s="116"/>
      <c r="CL33" s="116"/>
      <c r="CM33" s="116"/>
      <c r="CN33" s="112"/>
      <c r="CO33" s="112"/>
    </row>
    <row r="34" ht="30" customHeight="1">
      <c r="B34" s="366"/>
      <c r="C34" s="26" t="s">
        <v>250</v>
      </c>
      <c r="D34" s="8" t="s">
        <v>239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07"/>
      <c r="BY34" s="8"/>
      <c r="BZ34" s="112"/>
      <c r="CA34" s="112"/>
      <c r="CB34" s="112"/>
      <c r="CC34" s="112"/>
      <c r="CD34" s="112"/>
      <c r="CE34" s="112"/>
      <c r="CF34" s="8"/>
      <c r="CG34" s="112"/>
      <c r="CH34" s="112"/>
      <c r="CI34" s="112"/>
      <c r="CJ34" s="112"/>
      <c r="CK34" s="112"/>
      <c r="CL34" s="112"/>
      <c r="CM34" s="112"/>
      <c r="CN34" s="117"/>
      <c r="CO34" s="117"/>
    </row>
  </sheetData>
  <mergeCells count="29">
    <mergeCell ref="CC2:CF2"/>
    <mergeCell ref="E2:H2"/>
    <mergeCell ref="Y2:AB2"/>
    <mergeCell ref="B3:C3"/>
    <mergeCell ref="B2:C2"/>
    <mergeCell ref="AW2:AZ2"/>
    <mergeCell ref="AC2:AF2"/>
    <mergeCell ref="U2:X2"/>
    <mergeCell ref="B4:B12"/>
    <mergeCell ref="BQ2:BT2"/>
    <mergeCell ref="B25:B29"/>
    <mergeCell ref="I2:L2"/>
    <mergeCell ref="Q2:T2"/>
    <mergeCell ref="C1:BT1"/>
    <mergeCell ref="CG2:CJ2"/>
    <mergeCell ref="BY2:CB2"/>
    <mergeCell ref="AK2:AN2"/>
    <mergeCell ref="BI2:BL2"/>
    <mergeCell ref="AS2:AV2"/>
    <mergeCell ref="B15:B24"/>
    <mergeCell ref="BU2:BX2"/>
    <mergeCell ref="B30:B34"/>
    <mergeCell ref="BA2:BD2"/>
    <mergeCell ref="BE2:BH2"/>
    <mergeCell ref="CK2:CN2"/>
    <mergeCell ref="BM2:BP2"/>
    <mergeCell ref="AO2:AR2"/>
    <mergeCell ref="M2:P2"/>
    <mergeCell ref="AG2:A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2026-09-09T13:02:39Z</dcterms:modified>
</cp:coreProperties>
</file>