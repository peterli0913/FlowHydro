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400"/>
  </bookViews>
  <sheets>
    <sheet name="Agenda" sheetId="5" r:id="rId1"/>
    <sheet name="Sheet1" sheetId="6" r:id="rId2"/>
    <sheet name="Dave  schedule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<sst xmlns="http://schemas.openxmlformats.org/spreadsheetml/2006/main" count="172" uniqueCount="109">
  <si>
    <t>【SW】Agenda of the visit</t>
  </si>
  <si>
    <t>No.</t>
  </si>
  <si>
    <t>Date</t>
  </si>
  <si>
    <t>Time</t>
  </si>
  <si>
    <t>Itinerary</t>
  </si>
  <si>
    <t>Person in Charge</t>
  </si>
  <si>
    <t>Detailed Topic</t>
  </si>
  <si>
    <t>Location</t>
  </si>
  <si>
    <t>31st -Jan
Saturday</t>
  </si>
  <si>
    <t>TBD</t>
  </si>
  <si>
    <t>Airport Pickup</t>
  </si>
  <si>
    <t>1st -Feb
Sunday</t>
  </si>
  <si>
    <t>TJ4 Visit</t>
  </si>
  <si>
    <t>2nd-Feb
Monday</t>
  </si>
  <si>
    <t>08:30-09:00</t>
  </si>
  <si>
    <t>TJ4 site</t>
  </si>
  <si>
    <t>09:00-10:30</t>
  </si>
  <si>
    <t>902扩建：RFI（信息征询）评审与后续问题</t>
  </si>
  <si>
    <t>刘凯/郑国喜/郭宏杰/张暴/林浩淦/李涛</t>
  </si>
  <si>
    <t>TJ4南区101</t>
  </si>
  <si>
    <t>10:30-12:00</t>
  </si>
  <si>
    <t>英国项目需求评审——由 Clare 和 Scott 准备汇报材料</t>
  </si>
  <si>
    <t>刘凯/郑国喜/郭宏杰</t>
  </si>
  <si>
    <t>12:00-13:00</t>
  </si>
  <si>
    <t>Lunch  （商务工作餐）</t>
  </si>
  <si>
    <t>13:00-14:00</t>
  </si>
  <si>
    <t>Site Tour：参观HPLC及冻干机系统</t>
  </si>
  <si>
    <t>魏鹏/李涛/刘凯</t>
  </si>
  <si>
    <r>
      <rPr>
        <sz val="10"/>
        <color rgb="FF000000"/>
        <rFont val="微软雅黑"/>
        <charset val="134"/>
      </rPr>
      <t xml:space="preserve">1, 参观 汉邦 的制备型 HPLC 系统。
2, 在 TJ4 进行制备型 HPLC 卸料/转运方式评审（现场参观）
3, 参观冻干机（Lyophilizer）
4, TJ4 制备型 HPLC 的 PFD 流程——逐步走查设备与工艺流程
</t>
    </r>
    <r>
      <rPr>
        <sz val="10"/>
        <color rgb="FFFF0000"/>
        <rFont val="微软雅黑"/>
        <charset val="134"/>
      </rPr>
      <t>就概念方案达成一致——起草 URS 或评审既有设施改造</t>
    </r>
  </si>
  <si>
    <t>14:00-17:00</t>
  </si>
  <si>
    <t>902扩建（包括改造）：与更大范围团队评审布局（layouts）</t>
  </si>
  <si>
    <t>杨道兴/魏鹏/刘亚男/郭宏杰/张暴/IEPE（？）/郑国喜</t>
  </si>
  <si>
    <t>18:30-20:30</t>
  </si>
  <si>
    <t>Dinner</t>
  </si>
  <si>
    <t>3th-Feb
Tuesday</t>
  </si>
  <si>
    <t>09:00-12:00</t>
  </si>
  <si>
    <t>OEB5 Lab Site tour</t>
  </si>
  <si>
    <t>魏铮/龚成/王海妮/李涛/Martin</t>
  </si>
  <si>
    <t>1，按现状评审 Sandwich 的概念方案。
2，参观 OEB 5–6 区域 （拍照）。
3，了解固体分析在 OEB 测试中的处理方式（例如通常为开放式设备的 PXRD 粉末 X 射线衍射）。
4，分析人员 : 隔离器 配置比。
5，化学家 : 隔离器 配置比。
6, 现场查看隔离器设备</t>
  </si>
  <si>
    <t>Lunch  （商务工作餐x人）</t>
  </si>
  <si>
    <t>OEB5 Lab Discuss</t>
  </si>
  <si>
    <t>魏铮/龚成/王海妮/李涛/Martin/TJ6</t>
  </si>
  <si>
    <t>1, 以隔离器 : 项目步骤的比例来规划实验室空间。
2, TJ6 能否向英国供应隔离器？如何满足 CE 标志并符合英国/欧标设计标准（ISO 10648，待确认）？
3, 哪些固体类分析仪器不在 HIPO（高活性） 区域？
4, 若用于粉末形态，如何清洁这些仪器？
5, ROI（投资回报）
6, 对 OEB5 化合物如何评估与管理？</t>
  </si>
  <si>
    <t>TJ2 Visit</t>
  </si>
  <si>
    <t>TJ2 site</t>
  </si>
  <si>
    <t>4rd-Feb
Wednesday</t>
  </si>
  <si>
    <t>EHS讨论</t>
  </si>
  <si>
    <t>郑国喜/朱劲松/刘天元/刘美琪/张振华/赵轶/黄竹芸</t>
  </si>
  <si>
    <t>工业卫生检测规划。
Sandwich 方案以及中国团队来访计划如何对其提供支持。</t>
  </si>
  <si>
    <t>主楼一层105</t>
  </si>
  <si>
    <t>14:00-15:30</t>
  </si>
  <si>
    <t>郑国喜/朱劲松/侯英凤/马永林/刘金同/李香莲/郑苗苗/杨晓杰/姚志敏/曹振</t>
  </si>
  <si>
    <t>SBTI 及其他环境项目的进展更新、下一步与时间节点。</t>
  </si>
  <si>
    <t>15:30-17:00</t>
  </si>
  <si>
    <t>郑国喜/朱劲松/侯英凤/刘天元 /Clare</t>
  </si>
  <si>
    <t>其他可能影响 Sandwich 路线的战略性 EHS 倡议更新如 PFAS</t>
  </si>
  <si>
    <t>HR讨论</t>
  </si>
  <si>
    <t>刘倩/刘凯/Scott</t>
  </si>
  <si>
    <t>与 HR 的讨论议题</t>
  </si>
  <si>
    <t>5th-Feb
Thursday</t>
  </si>
  <si>
    <t>待定/总结</t>
  </si>
  <si>
    <t>902扩建：可行性研究反馈讨论</t>
  </si>
  <si>
    <r>
      <rPr>
        <sz val="10"/>
        <color rgb="FF000000"/>
        <rFont val="微软雅黑"/>
        <charset val="134"/>
      </rPr>
      <t xml:space="preserve">1，就可行性研究的外部供应商达成一致，并审查可研资金渠道（funding stream）。
</t>
    </r>
    <r>
      <rPr>
        <sz val="10"/>
        <color rgb="FFFF0000"/>
        <rFont val="微软雅黑"/>
        <charset val="134"/>
      </rPr>
      <t>2, 制定信息管理策略及对可研工作的支持方案
3, 确认供应商是否会就现有占地（existing footprint）升级进行报价，并确定报价生成策略</t>
    </r>
  </si>
  <si>
    <t>15th -OCT
Wednesday</t>
  </si>
  <si>
    <t>14:15-18:00</t>
  </si>
  <si>
    <t>Airport Pickup: Beijing-Tianjin</t>
  </si>
  <si>
    <t>18:00-20:00</t>
  </si>
  <si>
    <t>16th-OCT
Thursday</t>
  </si>
  <si>
    <t>902贴临扩建及未来小分子商业厂房设计与操作经验</t>
  </si>
  <si>
    <t>杨道兴、TJ3生产</t>
  </si>
  <si>
    <t>Lunch  （商务工作餐6人）</t>
  </si>
  <si>
    <t>14:00-16:00</t>
  </si>
  <si>
    <t>工厂自动化系统</t>
  </si>
  <si>
    <t>聂永广/(孟德志)/徐鹏程</t>
  </si>
  <si>
    <t>17:30-20:30</t>
  </si>
  <si>
    <t>17th-OCT
Friday</t>
  </si>
  <si>
    <t>To TJ4 site</t>
  </si>
  <si>
    <t>09:30-12:00</t>
  </si>
  <si>
    <t>多肽与小核酸厂房的设计与操作经验</t>
  </si>
  <si>
    <t>杨道兴/史永钢/刘其琛</t>
  </si>
  <si>
    <t>TJ4大分子楼223</t>
  </si>
  <si>
    <t>Lunch （商务工作餐6人）</t>
  </si>
  <si>
    <t>13:00-15:00</t>
  </si>
  <si>
    <t>HiPo厂房设计/操作/ IH标准；</t>
  </si>
  <si>
    <t>杨道兴/魏鹏、刘天元/张振华</t>
  </si>
  <si>
    <t>15:00-17:30</t>
  </si>
  <si>
    <t>CFCT与IEPE讨论连续PP氢化装置</t>
  </si>
  <si>
    <t>周洪如/赵子亮/孙艳/郑淞元/聂永广/冯先涛</t>
  </si>
  <si>
    <t>20th-OCT
Monday</t>
  </si>
  <si>
    <t>项目管理方法及全面项目定义（Holistic）</t>
  </si>
  <si>
    <t>暂定</t>
  </si>
  <si>
    <t>11:30-12:15</t>
  </si>
  <si>
    <t>12:15-2:00</t>
  </si>
  <si>
    <t>送机</t>
  </si>
  <si>
    <t>No.
序号</t>
  </si>
  <si>
    <t>Date
日期</t>
  </si>
  <si>
    <t>Time
时间</t>
  </si>
  <si>
    <t>Itinerary
行程安排</t>
  </si>
  <si>
    <t>Person in Charge
负责人</t>
  </si>
  <si>
    <t>Location
地点</t>
  </si>
  <si>
    <t>Preparation
筹备事项</t>
  </si>
  <si>
    <t>1st-NOV
Friday-周五</t>
  </si>
  <si>
    <t>07:00-09:30</t>
  </si>
  <si>
    <t>Go to Capital International Airport
前往首都国际机场</t>
  </si>
  <si>
    <t>1.送机车辆</t>
  </si>
  <si>
    <t>09:30-12:45</t>
  </si>
  <si>
    <t>Check in
值机办理</t>
  </si>
  <si>
    <t>12:45-15:55（+1）</t>
  </si>
  <si>
    <t>back to UK
回到英国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</si>
</sst>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  <numFmt numFmtId="177" formatCode="0_);[Red]\(0\)"/>
  </numFmts>
  <fonts count="34">
    <font>
      <sz val="12"/>
      <color theme="1"/>
      <name val="Calibri"/>
      <charset val="134"/>
      <scheme val="minor"/>
    </font>
    <font>
      <sz val="12"/>
      <color rgb="FF000000"/>
      <name val="等线"/>
      <charset val="134"/>
    </font>
    <font>
      <b/>
      <sz val="11"/>
      <color rgb="FFFFFFFF"/>
      <name val="微软雅黑, sans-serif"/>
      <charset val="134"/>
    </font>
    <font>
      <sz val="11"/>
      <color rgb="FF000000"/>
      <name val="微软雅黑, sans-serif"/>
      <charset val="134"/>
    </font>
    <font>
      <sz val="10"/>
      <color rgb="FF000000"/>
      <name val="等线"/>
      <charset val="134"/>
    </font>
    <font>
      <sz val="10"/>
      <color rgb="FF000000"/>
      <name val="Microsoft YaHei"/>
      <charset val="134"/>
    </font>
    <font>
      <b/>
      <sz val="16"/>
      <color rgb="FF000000"/>
      <name val="微软雅黑"/>
      <charset val="134"/>
    </font>
    <font>
      <b/>
      <sz val="10"/>
      <color rgb="FFFFFFFF"/>
      <name val="微软雅黑, sans-serif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FF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E75B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5" applyNumberFormat="0" applyAlignment="0" applyProtection="0">
      <alignment vertical="center"/>
    </xf>
    <xf numFmtId="0" fontId="23" fillId="9" borderId="16" applyNumberFormat="0" applyAlignment="0" applyProtection="0">
      <alignment vertical="center"/>
    </xf>
    <xf numFmtId="0" fontId="24" fillId="9" borderId="15" applyNumberFormat="0" applyAlignment="0" applyProtection="0">
      <alignment vertical="center"/>
    </xf>
    <xf numFmtId="0" fontId="25" fillId="10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44">
    <xf numFmtId="176" fontId="0" fillId="0" borderId="0" xfId="0">
      <alignment vertical="center"/>
    </xf>
    <xf numFmtId="176" fontId="1" fillId="0" borderId="0" xfId="0" applyFont="1">
      <alignment vertical="center"/>
    </xf>
    <xf numFmtId="176" fontId="2" fillId="2" borderId="1" xfId="0" applyFont="1" applyFill="1" applyBorder="1" applyAlignment="1">
      <alignment horizontal="center" wrapText="1"/>
    </xf>
    <xf numFmtId="176" fontId="2" fillId="2" borderId="2" xfId="0" applyFont="1" applyFill="1" applyBorder="1" applyAlignment="1">
      <alignment horizontal="center" vertical="center" wrapText="1"/>
    </xf>
    <xf numFmtId="176" fontId="2" fillId="2" borderId="3" xfId="0" applyFont="1" applyFill="1" applyBorder="1" applyAlignment="1">
      <alignment horizontal="center" vertical="center" wrapText="1"/>
    </xf>
    <xf numFmtId="176" fontId="2" fillId="2" borderId="1" xfId="0" applyFont="1" applyFill="1" applyBorder="1" applyAlignment="1">
      <alignment horizontal="center" vertical="center" wrapText="1"/>
    </xf>
    <xf numFmtId="176" fontId="3" fillId="0" borderId="4" xfId="0" applyFont="1" applyBorder="1" applyAlignment="1">
      <alignment horizontal="center" vertical="center"/>
    </xf>
    <xf numFmtId="176" fontId="3" fillId="0" borderId="4" xfId="0" applyFont="1" applyBorder="1" applyAlignment="1">
      <alignment horizontal="center" vertical="center" wrapText="1"/>
    </xf>
    <xf numFmtId="176" fontId="3" fillId="0" borderId="5" xfId="0" applyFont="1" applyBorder="1" applyAlignment="1">
      <alignment horizontal="center" vertical="center"/>
    </xf>
    <xf numFmtId="176" fontId="3" fillId="0" borderId="5" xfId="0" applyFont="1" applyBorder="1" applyAlignment="1">
      <alignment horizontal="center" vertical="center" wrapText="1"/>
    </xf>
    <xf numFmtId="176" fontId="4" fillId="0" borderId="5" xfId="0" applyFont="1" applyBorder="1">
      <alignment vertical="center"/>
    </xf>
    <xf numFmtId="176" fontId="5" fillId="0" borderId="5" xfId="0" applyFont="1" applyBorder="1">
      <alignment vertical="center"/>
    </xf>
    <xf numFmtId="176" fontId="3" fillId="0" borderId="6" xfId="0" applyFont="1" applyBorder="1" applyAlignment="1">
      <alignment horizontal="center" vertical="center"/>
    </xf>
    <xf numFmtId="176" fontId="4" fillId="0" borderId="0" xfId="0" applyFont="1">
      <alignment vertical="center"/>
    </xf>
    <xf numFmtId="176" fontId="3" fillId="0" borderId="7" xfId="0" applyFont="1" applyBorder="1" applyAlignment="1">
      <alignment horizontal="center" vertical="center"/>
    </xf>
    <xf numFmtId="176" fontId="3" fillId="0" borderId="7" xfId="0" applyFont="1" applyBorder="1" applyAlignment="1">
      <alignment horizontal="center" vertical="center" wrapText="1"/>
    </xf>
    <xf numFmtId="176" fontId="4" fillId="0" borderId="7" xfId="0" applyFont="1" applyBorder="1">
      <alignment vertical="center"/>
    </xf>
    <xf numFmtId="177" fontId="6" fillId="0" borderId="0" xfId="0" applyNumberFormat="1" applyFont="1" applyAlignment="1">
      <alignment horizontal="centerContinuous" vertical="center"/>
    </xf>
    <xf numFmtId="176" fontId="6" fillId="0" borderId="0" xfId="0" applyFont="1" applyAlignment="1">
      <alignment horizontal="centerContinuous" vertical="center"/>
    </xf>
    <xf numFmtId="176" fontId="6" fillId="0" borderId="0" xfId="0" applyFont="1" applyAlignment="1">
      <alignment horizontal="centerContinuous" vertical="center" wrapText="1"/>
    </xf>
    <xf numFmtId="177" fontId="7" fillId="2" borderId="8" xfId="0" applyNumberFormat="1" applyFont="1" applyFill="1" applyBorder="1" applyAlignment="1">
      <alignment horizontal="center" vertical="center" wrapText="1"/>
    </xf>
    <xf numFmtId="176" fontId="7" fillId="2" borderId="8" xfId="0" applyFont="1" applyFill="1" applyBorder="1" applyAlignment="1">
      <alignment horizontal="center" vertical="center" wrapText="1"/>
    </xf>
    <xf numFmtId="177" fontId="8" fillId="0" borderId="8" xfId="0" applyNumberFormat="1" applyFont="1" applyBorder="1" applyAlignment="1">
      <alignment horizontal="center" vertical="center"/>
    </xf>
    <xf numFmtId="176" fontId="8" fillId="0" borderId="9" xfId="0" applyFont="1" applyBorder="1" applyAlignment="1">
      <alignment horizontal="center" vertical="center" wrapText="1"/>
    </xf>
    <xf numFmtId="176" fontId="8" fillId="0" borderId="8" xfId="0" applyFont="1" applyBorder="1" applyAlignment="1">
      <alignment horizontal="center" vertical="center" wrapText="1"/>
    </xf>
    <xf numFmtId="176" fontId="8" fillId="0" borderId="8" xfId="0" applyFont="1" applyBorder="1" applyAlignment="1">
      <alignment horizontal="left" vertical="center" wrapText="1"/>
    </xf>
    <xf numFmtId="176" fontId="8" fillId="0" borderId="10" xfId="0" applyFont="1" applyBorder="1" applyAlignment="1">
      <alignment horizontal="center" vertical="center" wrapText="1"/>
    </xf>
    <xf numFmtId="177" fontId="9" fillId="3" borderId="8" xfId="0" applyNumberFormat="1" applyFont="1" applyFill="1" applyBorder="1" applyAlignment="1">
      <alignment horizontal="center" vertical="center"/>
    </xf>
    <xf numFmtId="176" fontId="8" fillId="0" borderId="11" xfId="0" applyFont="1" applyBorder="1" applyAlignment="1">
      <alignment horizontal="center" vertical="center" wrapText="1"/>
    </xf>
    <xf numFmtId="176" fontId="8" fillId="4" borderId="8" xfId="0" applyFont="1" applyFill="1" applyBorder="1" applyAlignment="1">
      <alignment horizontal="center" vertical="center" wrapText="1"/>
    </xf>
    <xf numFmtId="176" fontId="8" fillId="4" borderId="8" xfId="0" applyFont="1" applyFill="1" applyBorder="1" applyAlignment="1">
      <alignment horizontal="left" vertical="center" wrapText="1"/>
    </xf>
    <xf numFmtId="176" fontId="10" fillId="0" borderId="8" xfId="0" applyFont="1" applyFill="1" applyBorder="1" applyAlignment="1">
      <alignment horizontal="left" vertical="center" wrapText="1"/>
    </xf>
    <xf numFmtId="177" fontId="9" fillId="3" borderId="8" xfId="0" applyNumberFormat="1" applyFont="1" applyFill="1" applyBorder="1" applyAlignment="1">
      <alignment horizontal="centerContinuous" vertical="center"/>
    </xf>
    <xf numFmtId="176" fontId="9" fillId="3" borderId="8" xfId="0" applyFont="1" applyFill="1" applyBorder="1" applyAlignment="1">
      <alignment horizontal="centerContinuous" vertical="center" wrapText="1"/>
    </xf>
    <xf numFmtId="176" fontId="8" fillId="0" borderId="8" xfId="0" applyFont="1" applyFill="1" applyBorder="1" applyAlignment="1">
      <alignment horizontal="left" vertical="center" wrapText="1"/>
    </xf>
    <xf numFmtId="176" fontId="11" fillId="0" borderId="8" xfId="0" applyFont="1" applyBorder="1" applyAlignment="1">
      <alignment horizontal="left" vertical="center" wrapText="1"/>
    </xf>
    <xf numFmtId="176" fontId="11" fillId="0" borderId="9" xfId="0" applyFont="1" applyBorder="1" applyAlignment="1">
      <alignment horizontal="center" vertical="center" wrapText="1"/>
    </xf>
    <xf numFmtId="176" fontId="11" fillId="0" borderId="11" xfId="0" applyFont="1" applyBorder="1" applyAlignment="1">
      <alignment horizontal="center" vertical="center"/>
    </xf>
    <xf numFmtId="176" fontId="8" fillId="5" borderId="8" xfId="0" applyFont="1" applyFill="1" applyBorder="1" applyAlignment="1">
      <alignment horizontal="left" vertical="center" wrapText="1"/>
    </xf>
    <xf numFmtId="176" fontId="11" fillId="0" borderId="10" xfId="0" applyFont="1" applyBorder="1" applyAlignment="1">
      <alignment horizontal="center" vertical="center"/>
    </xf>
    <xf numFmtId="176" fontId="12" fillId="0" borderId="0" xfId="0" applyFont="1">
      <alignment vertical="center"/>
    </xf>
    <xf numFmtId="176" fontId="9" fillId="0" borderId="0" xfId="0" applyFont="1" applyAlignment="1">
      <alignment horizontal="centerContinuous" vertical="center" wrapText="1"/>
    </xf>
    <xf numFmtId="176" fontId="7" fillId="6" borderId="8" xfId="0" applyFont="1" applyFill="1" applyBorder="1" applyAlignment="1">
      <alignment horizontal="center" vertical="center" wrapText="1"/>
    </xf>
    <xf numFmtId="176" fontId="8" fillId="0" borderId="1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topLeftCell="A17" workbookViewId="0">
      <selection activeCell="E20" sqref="E20"/>
    </sheetView>
  </sheetViews>
  <sheetFormatPr defaultColWidth="9" defaultRowHeight="15.5" outlineLevelCol="6"/>
  <cols>
    <col min="1" max="1" width="5.30833333333333" customWidth="1"/>
    <col min="2" max="2" width="9.84166666666667" customWidth="1"/>
    <col min="3" max="3" width="14.6916666666667" customWidth="1"/>
    <col min="4" max="4" width="25.8416666666667" customWidth="1"/>
    <col min="5" max="5" width="17.925" customWidth="1"/>
    <col min="6" max="6" width="38.7666666666667" style="40" customWidth="1"/>
    <col min="7" max="7" width="11.6166666666667" customWidth="1"/>
  </cols>
  <sheetData>
    <row r="1" ht="22.5" spans="1:7">
      <c r="A1" s="17" t="s">
        <v>0</v>
      </c>
      <c r="B1" s="18"/>
      <c r="C1" s="19"/>
      <c r="D1" s="19"/>
      <c r="E1" s="19"/>
      <c r="F1" s="41"/>
      <c r="G1" s="19"/>
    </row>
    <row r="2" spans="1:7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42" t="s">
        <v>6</v>
      </c>
      <c r="G2" s="21" t="s">
        <v>7</v>
      </c>
    </row>
    <row r="3" ht="31" customHeight="1" spans="1:7">
      <c r="A3" s="22">
        <f>ROW()-2</f>
        <v>1</v>
      </c>
      <c r="B3" s="23" t="s">
        <v>8</v>
      </c>
      <c r="C3" s="24" t="s">
        <v>9</v>
      </c>
      <c r="D3" s="25" t="s">
        <v>10</v>
      </c>
      <c r="E3" s="25"/>
      <c r="F3" s="25"/>
      <c r="G3" s="24"/>
    </row>
    <row r="4" ht="29" spans="1:7">
      <c r="A4" s="22">
        <v>2</v>
      </c>
      <c r="B4" s="23" t="s">
        <v>11</v>
      </c>
      <c r="C4" s="24" t="s">
        <v>9</v>
      </c>
      <c r="D4" s="25" t="s">
        <v>10</v>
      </c>
      <c r="E4" s="25"/>
      <c r="F4" s="25"/>
      <c r="G4" s="25"/>
    </row>
    <row r="5" spans="1:7">
      <c r="A5" s="27" t="s">
        <v>12</v>
      </c>
      <c r="B5" s="27"/>
      <c r="C5" s="27"/>
      <c r="D5" s="27"/>
      <c r="E5" s="27"/>
      <c r="F5" s="27"/>
      <c r="G5" s="27"/>
    </row>
    <row r="6" spans="1:7">
      <c r="A6" s="22">
        <f t="shared" ref="A6:A10" si="0">ROW()-3</f>
        <v>3</v>
      </c>
      <c r="B6" s="23" t="s">
        <v>13</v>
      </c>
      <c r="C6" s="24" t="s">
        <v>14</v>
      </c>
      <c r="D6" s="25" t="s">
        <v>15</v>
      </c>
      <c r="E6" s="25"/>
      <c r="F6" s="25"/>
      <c r="G6" s="24"/>
    </row>
    <row r="7" ht="29" spans="1:7">
      <c r="A7" s="22">
        <f t="shared" si="0"/>
        <v>4</v>
      </c>
      <c r="B7" s="28"/>
      <c r="C7" s="24" t="s">
        <v>16</v>
      </c>
      <c r="D7" s="25" t="s">
        <v>17</v>
      </c>
      <c r="E7" s="25" t="s">
        <v>18</v>
      </c>
      <c r="F7" s="25"/>
      <c r="G7" t="s">
        <v>19</v>
      </c>
    </row>
    <row r="8" ht="29" spans="1:7">
      <c r="A8" s="22">
        <v>6</v>
      </c>
      <c r="B8" s="28"/>
      <c r="C8" s="24" t="s">
        <v>20</v>
      </c>
      <c r="D8" s="30" t="s">
        <v>21</v>
      </c>
      <c r="E8" s="25" t="s">
        <v>22</v>
      </c>
      <c r="F8" s="25"/>
      <c r="G8" t="s">
        <v>19</v>
      </c>
    </row>
    <row r="9" ht="25" customHeight="1" spans="1:7">
      <c r="A9" s="22">
        <f t="shared" si="0"/>
        <v>6</v>
      </c>
      <c r="B9" s="28"/>
      <c r="C9" s="29" t="s">
        <v>23</v>
      </c>
      <c r="D9" s="30" t="s">
        <v>24</v>
      </c>
      <c r="E9" s="25"/>
      <c r="F9" s="25"/>
      <c r="G9" s="24"/>
    </row>
    <row r="10" ht="116" spans="1:7">
      <c r="A10" s="22">
        <f t="shared" si="0"/>
        <v>7</v>
      </c>
      <c r="B10" s="37"/>
      <c r="C10" s="29" t="s">
        <v>25</v>
      </c>
      <c r="D10" s="30" t="s">
        <v>26</v>
      </c>
      <c r="E10" s="25" t="s">
        <v>27</v>
      </c>
      <c r="F10" s="25" t="s">
        <v>28</v>
      </c>
      <c r="G10" t="s">
        <v>19</v>
      </c>
    </row>
    <row r="11" ht="43.5" spans="1:7">
      <c r="A11" s="22">
        <f>ROW()-3</f>
        <v>8</v>
      </c>
      <c r="B11" s="28"/>
      <c r="C11" s="24" t="s">
        <v>29</v>
      </c>
      <c r="D11" s="31" t="s">
        <v>30</v>
      </c>
      <c r="E11" s="31" t="s">
        <v>31</v>
      </c>
      <c r="F11" s="25"/>
      <c r="G11" t="s">
        <v>19</v>
      </c>
    </row>
    <row r="12" ht="25" customHeight="1" spans="1:7">
      <c r="A12" s="22">
        <f>ROW()-3</f>
        <v>9</v>
      </c>
      <c r="B12" s="26"/>
      <c r="C12" s="24" t="s">
        <v>32</v>
      </c>
      <c r="D12" s="25" t="s">
        <v>33</v>
      </c>
      <c r="E12" s="25"/>
      <c r="F12" s="25"/>
      <c r="G12" s="24"/>
    </row>
    <row r="13" spans="1:7">
      <c r="A13" s="27" t="s">
        <v>12</v>
      </c>
      <c r="B13" s="27"/>
      <c r="C13" s="27"/>
      <c r="D13" s="27"/>
      <c r="E13" s="27"/>
      <c r="F13" s="27"/>
      <c r="G13" s="27"/>
    </row>
    <row r="14" ht="24" customHeight="1" spans="1:7">
      <c r="A14" s="22">
        <f>ROW()-3</f>
        <v>11</v>
      </c>
      <c r="B14" s="36" t="s">
        <v>34</v>
      </c>
      <c r="C14" s="24" t="s">
        <v>14</v>
      </c>
      <c r="D14" s="25" t="s">
        <v>15</v>
      </c>
      <c r="E14" s="25"/>
      <c r="F14" s="25"/>
      <c r="G14" s="24"/>
    </row>
    <row r="15" ht="101.5" spans="1:7">
      <c r="A15" s="22">
        <f t="shared" ref="A15:A17" si="1">ROW()-3</f>
        <v>12</v>
      </c>
      <c r="B15" s="37"/>
      <c r="C15" s="24" t="s">
        <v>35</v>
      </c>
      <c r="D15" s="25" t="s">
        <v>36</v>
      </c>
      <c r="E15" s="25" t="s">
        <v>37</v>
      </c>
      <c r="F15" s="25" t="s">
        <v>38</v>
      </c>
      <c r="G15" t="s">
        <v>19</v>
      </c>
    </row>
    <row r="16" ht="25.5" customHeight="1" spans="1:7">
      <c r="A16" s="22">
        <f t="shared" si="1"/>
        <v>13</v>
      </c>
      <c r="B16" s="37"/>
      <c r="C16" s="29" t="s">
        <v>23</v>
      </c>
      <c r="D16" s="30" t="s">
        <v>39</v>
      </c>
      <c r="E16" s="25"/>
      <c r="F16" s="25"/>
      <c r="G16" s="29"/>
    </row>
    <row r="17" ht="116" spans="1:7">
      <c r="A17" s="22">
        <f t="shared" si="1"/>
        <v>14</v>
      </c>
      <c r="B17" s="39"/>
      <c r="C17" s="29" t="s">
        <v>29</v>
      </c>
      <c r="D17" s="30" t="s">
        <v>40</v>
      </c>
      <c r="E17" s="25" t="s">
        <v>41</v>
      </c>
      <c r="F17" s="25" t="s">
        <v>42</v>
      </c>
      <c r="G17" t="s">
        <v>19</v>
      </c>
    </row>
    <row r="18" spans="1:7">
      <c r="A18" s="27" t="s">
        <v>43</v>
      </c>
      <c r="B18" s="27"/>
      <c r="C18" s="27"/>
      <c r="D18" s="27"/>
      <c r="E18" s="27"/>
      <c r="F18" s="27"/>
      <c r="G18" s="27"/>
    </row>
    <row r="19" spans="1:7">
      <c r="A19" s="22">
        <f>ROW()-4</f>
        <v>15</v>
      </c>
      <c r="B19" s="24"/>
      <c r="C19" s="24" t="s">
        <v>14</v>
      </c>
      <c r="D19" s="25" t="s">
        <v>44</v>
      </c>
      <c r="E19" s="25"/>
      <c r="F19" s="25"/>
      <c r="G19" s="24"/>
    </row>
    <row r="20" ht="43.5" spans="1:7">
      <c r="A20" s="22">
        <f>ROW()-4</f>
        <v>16</v>
      </c>
      <c r="B20" s="28" t="s">
        <v>45</v>
      </c>
      <c r="C20" s="24" t="s">
        <v>35</v>
      </c>
      <c r="D20" s="25" t="s">
        <v>46</v>
      </c>
      <c r="E20" s="25" t="s">
        <v>47</v>
      </c>
      <c r="F20" s="25" t="s">
        <v>48</v>
      </c>
      <c r="G20" s="24" t="s">
        <v>49</v>
      </c>
    </row>
    <row r="21" ht="25" customHeight="1" spans="1:7">
      <c r="A21" s="22">
        <f>ROW()-4</f>
        <v>17</v>
      </c>
      <c r="B21" s="28"/>
      <c r="C21" s="29" t="s">
        <v>23</v>
      </c>
      <c r="D21" s="30" t="s">
        <v>24</v>
      </c>
      <c r="E21" s="25"/>
      <c r="F21" s="25"/>
      <c r="G21" s="24" t="s">
        <v>49</v>
      </c>
    </row>
    <row r="22" ht="58" spans="1:7">
      <c r="A22" s="22">
        <f>ROW()-4</f>
        <v>18</v>
      </c>
      <c r="B22" s="28"/>
      <c r="C22" s="24" t="s">
        <v>50</v>
      </c>
      <c r="D22" s="31" t="s">
        <v>46</v>
      </c>
      <c r="E22" s="31" t="s">
        <v>51</v>
      </c>
      <c r="F22" s="25" t="s">
        <v>52</v>
      </c>
      <c r="G22" s="24" t="s">
        <v>49</v>
      </c>
    </row>
    <row r="23" ht="29" spans="1:7">
      <c r="A23" s="22">
        <f>ROW()-4</f>
        <v>19</v>
      </c>
      <c r="B23" s="28"/>
      <c r="C23" s="24" t="s">
        <v>53</v>
      </c>
      <c r="D23" s="25" t="s">
        <v>46</v>
      </c>
      <c r="E23" s="25" t="s">
        <v>54</v>
      </c>
      <c r="F23" s="25" t="s">
        <v>55</v>
      </c>
      <c r="G23" s="24" t="s">
        <v>49</v>
      </c>
    </row>
    <row r="24" ht="29.5" customHeight="1" spans="1:7">
      <c r="A24" s="22"/>
      <c r="B24" s="43"/>
      <c r="C24" s="24" t="s">
        <v>53</v>
      </c>
      <c r="D24" s="25" t="s">
        <v>56</v>
      </c>
      <c r="E24" s="25" t="s">
        <v>57</v>
      </c>
      <c r="F24" s="25" t="s">
        <v>58</v>
      </c>
      <c r="G24" s="24"/>
    </row>
    <row r="25" spans="1:7">
      <c r="A25" s="27" t="s">
        <v>43</v>
      </c>
      <c r="B25" s="27"/>
      <c r="C25" s="27"/>
      <c r="D25" s="27"/>
      <c r="E25" s="27"/>
      <c r="F25" s="27"/>
      <c r="G25" s="27"/>
    </row>
    <row r="26" spans="1:7">
      <c r="A26" s="22">
        <f t="shared" ref="A26:A29" si="2">ROW()-3</f>
        <v>23</v>
      </c>
      <c r="B26" s="36" t="s">
        <v>59</v>
      </c>
      <c r="C26" s="24" t="s">
        <v>14</v>
      </c>
      <c r="D26" s="25" t="s">
        <v>44</v>
      </c>
      <c r="E26" s="25"/>
      <c r="F26" s="25"/>
      <c r="G26" s="24"/>
    </row>
    <row r="27" ht="52" customHeight="1" spans="1:7">
      <c r="A27" s="22">
        <f t="shared" si="2"/>
        <v>24</v>
      </c>
      <c r="B27" s="37"/>
      <c r="C27" s="29" t="s">
        <v>35</v>
      </c>
      <c r="D27" s="30" t="s">
        <v>60</v>
      </c>
      <c r="E27" s="25"/>
      <c r="F27" s="25"/>
      <c r="G27" s="24" t="s">
        <v>49</v>
      </c>
    </row>
    <row r="28" spans="1:7">
      <c r="A28" s="22">
        <f t="shared" si="2"/>
        <v>25</v>
      </c>
      <c r="B28" s="37"/>
      <c r="C28" s="29" t="s">
        <v>23</v>
      </c>
      <c r="D28" s="30" t="s">
        <v>39</v>
      </c>
      <c r="E28" s="25"/>
      <c r="F28" s="25"/>
      <c r="G28" s="29"/>
    </row>
    <row r="29" ht="72.5" spans="1:7">
      <c r="A29" s="22">
        <f t="shared" si="2"/>
        <v>26</v>
      </c>
      <c r="B29" s="39"/>
      <c r="C29" s="24" t="s">
        <v>29</v>
      </c>
      <c r="D29" s="25" t="s">
        <v>61</v>
      </c>
      <c r="E29" s="25" t="s">
        <v>18</v>
      </c>
      <c r="F29" s="25" t="s">
        <v>62</v>
      </c>
      <c r="G29" s="24" t="s">
        <v>49</v>
      </c>
    </row>
  </sheetData>
  <mergeCells count="8">
    <mergeCell ref="A5:G5"/>
    <mergeCell ref="A13:G13"/>
    <mergeCell ref="A18:G18"/>
    <mergeCell ref="A25:G25"/>
    <mergeCell ref="B6:B12"/>
    <mergeCell ref="B14:B17"/>
    <mergeCell ref="B20:B24"/>
    <mergeCell ref="B26:B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2" sqref="A2:F22"/>
    </sheetView>
  </sheetViews>
  <sheetFormatPr defaultColWidth="9" defaultRowHeight="15.5" outlineLevelCol="5"/>
  <cols>
    <col min="3" max="3" width="14.925" customWidth="1"/>
    <col min="4" max="4" width="26.075" customWidth="1"/>
    <col min="5" max="5" width="31.8416666666667" customWidth="1"/>
    <col min="6" max="6" width="12.3083333333333" customWidth="1"/>
  </cols>
  <sheetData>
    <row r="1" ht="22.5" spans="1:6">
      <c r="A1" s="17" t="s">
        <v>0</v>
      </c>
      <c r="B1" s="18"/>
      <c r="C1" s="19"/>
      <c r="D1" s="19"/>
      <c r="E1" s="19"/>
      <c r="F1" s="19"/>
    </row>
    <row r="2" spans="1:6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7</v>
      </c>
    </row>
    <row r="3" spans="1:6">
      <c r="A3" s="22">
        <f>ROW()-2</f>
        <v>1</v>
      </c>
      <c r="B3" s="23" t="s">
        <v>63</v>
      </c>
      <c r="C3" s="24" t="s">
        <v>64</v>
      </c>
      <c r="D3" s="25" t="s">
        <v>65</v>
      </c>
      <c r="E3" s="25"/>
      <c r="F3" s="24"/>
    </row>
    <row r="4" spans="1:6">
      <c r="A4" s="22">
        <v>2</v>
      </c>
      <c r="B4" s="26"/>
      <c r="C4" s="24" t="s">
        <v>66</v>
      </c>
      <c r="D4" s="25" t="s">
        <v>33</v>
      </c>
      <c r="E4" s="25"/>
      <c r="F4" s="24"/>
    </row>
    <row r="5" spans="1:6">
      <c r="A5" s="27" t="s">
        <v>43</v>
      </c>
      <c r="B5" s="27"/>
      <c r="C5" s="27"/>
      <c r="D5" s="27"/>
      <c r="E5" s="27"/>
      <c r="F5" s="27"/>
    </row>
    <row r="6" ht="31" customHeight="1" spans="1:6">
      <c r="A6" s="22">
        <f>ROW()-3</f>
        <v>3</v>
      </c>
      <c r="B6" s="23" t="s">
        <v>67</v>
      </c>
      <c r="C6" s="24" t="s">
        <v>14</v>
      </c>
      <c r="D6" s="25" t="s">
        <v>44</v>
      </c>
      <c r="E6" s="25"/>
      <c r="F6" s="24"/>
    </row>
    <row r="7" ht="31" customHeight="1" spans="1:6">
      <c r="A7" s="22">
        <f>ROW()-3</f>
        <v>4</v>
      </c>
      <c r="B7" s="28"/>
      <c r="C7" s="24" t="s">
        <v>35</v>
      </c>
      <c r="D7" s="25" t="s">
        <v>68</v>
      </c>
      <c r="E7" s="25" t="s">
        <v>69</v>
      </c>
      <c r="F7" s="24" t="s">
        <v>49</v>
      </c>
    </row>
    <row r="8" ht="31" customHeight="1" spans="1:6">
      <c r="A8" s="22">
        <f>ROW()-3</f>
        <v>5</v>
      </c>
      <c r="B8" s="28"/>
      <c r="C8" s="29" t="s">
        <v>23</v>
      </c>
      <c r="D8" s="30" t="s">
        <v>70</v>
      </c>
      <c r="E8" s="25"/>
      <c r="F8" s="24" t="s">
        <v>49</v>
      </c>
    </row>
    <row r="9" ht="31" customHeight="1" spans="1:6">
      <c r="A9" s="22">
        <f>ROW()-3</f>
        <v>6</v>
      </c>
      <c r="B9" s="28"/>
      <c r="C9" s="24" t="s">
        <v>71</v>
      </c>
      <c r="D9" s="31" t="s">
        <v>72</v>
      </c>
      <c r="E9" s="31" t="s">
        <v>73</v>
      </c>
      <c r="F9" s="24" t="s">
        <v>49</v>
      </c>
    </row>
    <row r="10" ht="31" customHeight="1" spans="1:6">
      <c r="A10" s="22">
        <f>ROW()-3</f>
        <v>7</v>
      </c>
      <c r="B10" s="26"/>
      <c r="C10" s="24" t="s">
        <v>74</v>
      </c>
      <c r="D10" s="25" t="s">
        <v>33</v>
      </c>
      <c r="E10" s="25"/>
      <c r="F10" s="24"/>
    </row>
    <row r="11" spans="1:6">
      <c r="A11" s="32" t="s">
        <v>12</v>
      </c>
      <c r="B11" s="33"/>
      <c r="C11" s="33"/>
      <c r="D11" s="33"/>
      <c r="E11" s="33"/>
      <c r="F11" s="33"/>
    </row>
    <row r="12" ht="30.5" customHeight="1" spans="1:6">
      <c r="A12" s="22">
        <v>8</v>
      </c>
      <c r="B12" s="23" t="s">
        <v>75</v>
      </c>
      <c r="C12" s="24" t="s">
        <v>14</v>
      </c>
      <c r="D12" s="25" t="s">
        <v>76</v>
      </c>
      <c r="E12" s="25"/>
      <c r="F12" s="24"/>
    </row>
    <row r="13" ht="30.5" customHeight="1" spans="1:6">
      <c r="A13" s="22">
        <v>9</v>
      </c>
      <c r="B13" s="28"/>
      <c r="C13" s="29" t="s">
        <v>77</v>
      </c>
      <c r="D13" s="25" t="s">
        <v>78</v>
      </c>
      <c r="E13" s="25" t="s">
        <v>79</v>
      </c>
      <c r="F13" s="24" t="s">
        <v>80</v>
      </c>
    </row>
    <row r="14" ht="30.5" customHeight="1" spans="1:6">
      <c r="A14" s="22">
        <v>10</v>
      </c>
      <c r="B14" s="28"/>
      <c r="C14" s="29" t="s">
        <v>23</v>
      </c>
      <c r="D14" s="30" t="s">
        <v>81</v>
      </c>
      <c r="E14" s="25"/>
      <c r="F14" s="24" t="s">
        <v>80</v>
      </c>
    </row>
    <row r="15" ht="30.5" customHeight="1" spans="1:6">
      <c r="A15" s="22">
        <f t="shared" ref="A15" si="0">ROW()-4</f>
        <v>11</v>
      </c>
      <c r="B15" s="28"/>
      <c r="C15" s="24" t="s">
        <v>82</v>
      </c>
      <c r="D15" s="34" t="s">
        <v>83</v>
      </c>
      <c r="E15" s="34" t="s">
        <v>84</v>
      </c>
      <c r="F15" s="24" t="s">
        <v>80</v>
      </c>
    </row>
    <row r="16" ht="30.5" customHeight="1" spans="1:6">
      <c r="A16" s="22">
        <v>12</v>
      </c>
      <c r="B16" s="28"/>
      <c r="C16" s="24" t="s">
        <v>85</v>
      </c>
      <c r="D16" s="35" t="s">
        <v>86</v>
      </c>
      <c r="E16" s="25" t="s">
        <v>87</v>
      </c>
      <c r="F16" s="24" t="s">
        <v>80</v>
      </c>
    </row>
    <row r="17" ht="30.5" customHeight="1" spans="1:6">
      <c r="A17" s="22">
        <f t="shared" ref="A17" si="1">ROW()-3</f>
        <v>14</v>
      </c>
      <c r="B17" s="26"/>
      <c r="C17" s="24" t="s">
        <v>74</v>
      </c>
      <c r="D17" s="25" t="s">
        <v>33</v>
      </c>
      <c r="E17" s="25"/>
      <c r="F17" s="24"/>
    </row>
    <row r="18" spans="1:6">
      <c r="A18" s="27" t="s">
        <v>43</v>
      </c>
      <c r="B18" s="27"/>
      <c r="C18" s="27"/>
      <c r="D18" s="27"/>
      <c r="E18" s="27"/>
      <c r="F18" s="27"/>
    </row>
    <row r="19" ht="33.5" customHeight="1" spans="1:6">
      <c r="A19" s="22">
        <f>ROW()-3</f>
        <v>16</v>
      </c>
      <c r="B19" s="36" t="s">
        <v>88</v>
      </c>
      <c r="C19" s="24" t="s">
        <v>14</v>
      </c>
      <c r="D19" s="25" t="s">
        <v>44</v>
      </c>
      <c r="E19" s="25"/>
      <c r="F19" s="24"/>
    </row>
    <row r="20" ht="33.5" customHeight="1" spans="1:6">
      <c r="A20" s="22">
        <f t="shared" ref="A20:A22" si="2">ROW()-3</f>
        <v>17</v>
      </c>
      <c r="B20" s="37"/>
      <c r="C20" s="24" t="s">
        <v>35</v>
      </c>
      <c r="D20" s="38" t="s">
        <v>89</v>
      </c>
      <c r="E20" s="38" t="s">
        <v>90</v>
      </c>
      <c r="F20" s="24" t="s">
        <v>49</v>
      </c>
    </row>
    <row r="21" ht="33.5" customHeight="1" spans="1:6">
      <c r="A21" s="22">
        <f t="shared" si="2"/>
        <v>18</v>
      </c>
      <c r="B21" s="37"/>
      <c r="C21" s="29" t="s">
        <v>91</v>
      </c>
      <c r="D21" s="30" t="s">
        <v>39</v>
      </c>
      <c r="E21" s="25"/>
      <c r="F21" s="29"/>
    </row>
    <row r="22" ht="33.5" customHeight="1" spans="1:6">
      <c r="A22" s="22">
        <f t="shared" si="2"/>
        <v>19</v>
      </c>
      <c r="B22" s="39"/>
      <c r="C22" s="29" t="s">
        <v>92</v>
      </c>
      <c r="D22" s="30" t="s">
        <v>93</v>
      </c>
      <c r="E22" s="25"/>
      <c r="F22" s="29"/>
    </row>
  </sheetData>
  <mergeCells count="6">
    <mergeCell ref="A5:F5"/>
    <mergeCell ref="A18:F18"/>
    <mergeCell ref="B3:B4"/>
    <mergeCell ref="B6:B10"/>
    <mergeCell ref="B12:B17"/>
    <mergeCell ref="B19:B2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G5"/>
  <sheetViews>
    <sheetView workbookViewId="0">
      <selection activeCell="A1" sqref="A1"/>
    </sheetView>
  </sheetViews>
  <sheetFormatPr defaultColWidth="10" defaultRowHeight="16.5" customHeight="1" outlineLevelRow="4" outlineLevelCol="6"/>
  <cols>
    <col min="1" max="1" width="4.69166666666667" style="1"/>
    <col min="2" max="2" width="14.3083333333333" style="1" customWidth="1"/>
    <col min="3" max="3" width="27" style="1" customWidth="1"/>
    <col min="4" max="4" width="37.4583333333333" style="1" customWidth="1"/>
    <col min="7" max="7" width="23.3083333333333" style="1" customWidth="1"/>
  </cols>
  <sheetData>
    <row r="2" ht="41.25" customHeight="1" spans="1:7">
      <c r="A2" s="2" t="s">
        <v>94</v>
      </c>
      <c r="B2" s="3" t="s">
        <v>95</v>
      </c>
      <c r="C2" s="3" t="s">
        <v>96</v>
      </c>
      <c r="D2" s="3" t="s">
        <v>97</v>
      </c>
      <c r="E2" s="3" t="s">
        <v>98</v>
      </c>
      <c r="F2" s="4" t="s">
        <v>99</v>
      </c>
      <c r="G2" s="5" t="s">
        <v>100</v>
      </c>
    </row>
    <row r="3" ht="27.75" customHeight="1" spans="1:7">
      <c r="A3" s="6">
        <v>1</v>
      </c>
      <c r="B3" s="7" t="s">
        <v>101</v>
      </c>
      <c r="C3" s="8" t="s">
        <v>102</v>
      </c>
      <c r="D3" s="9" t="s">
        <v>103</v>
      </c>
      <c r="E3" s="8"/>
      <c r="F3" s="10"/>
      <c r="G3" s="11" t="s">
        <v>104</v>
      </c>
    </row>
    <row r="4" ht="27.75" customHeight="1" spans="1:7">
      <c r="A4" s="12">
        <v>2</v>
      </c>
      <c r="B4" s="13"/>
      <c r="C4" s="14" t="s">
        <v>105</v>
      </c>
      <c r="D4" s="15" t="s">
        <v>106</v>
      </c>
      <c r="E4" s="14"/>
      <c r="F4" s="16"/>
      <c r="G4" s="16"/>
    </row>
    <row r="5" ht="27.75" customHeight="1" spans="1:7">
      <c r="A5" s="12">
        <v>3</v>
      </c>
      <c r="B5" s="13"/>
      <c r="C5" s="14" t="s">
        <v>107</v>
      </c>
      <c r="D5" s="15" t="s">
        <v>108</v>
      </c>
      <c r="E5" s="14"/>
      <c r="F5" s="16"/>
      <c r="G5" s="16"/>
    </row>
  </sheetData>
  <mergeCells count="1">
    <mergeCell ref="B3:B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Agenda</vt:lpstr>
      <vt:lpstr>Sheet1</vt:lpstr>
      <vt:lpstr>Dave 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李涛</cp:lastModifiedBy>
  <dcterms:created xsi:type="dcterms:W3CDTF">2006-09-16T00:00:00Z</dcterms:created>
  <cp:lastPrinted>2024-10-24T13:03:00Z</cp:lastPrinted>
  <dcterms:modified xsi:type="dcterms:W3CDTF">2026-01-30T09:53:33Z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6CB986D82A9846629CAB4A491E328A44_13</vt:lpwstr>
  </property>
  <property fmtid="{D5CDD505-2E9C-101B-9397-08002B2CF9AE}" pid="3" name="KSOProductBuildVer">
    <vt:lpwstr>1033-12.2.0.23196</vt:lpwstr>
  </property>
</Properties>
</file>