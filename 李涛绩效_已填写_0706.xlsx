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70"/>
  </bookViews>
  <sheets>
    <sheet name="李涛自评" sheetId="1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<sst xmlns="http://schemas.openxmlformats.org/spreadsheetml/2006/main" count="53" uniqueCount="43">
  <si>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序号</t>
  </si>
  <si>
    <t>指标
类型</t>
  </si>
  <si>
    <t>部门</t>
  </si>
  <si>
    <t>人员</t>
  </si>
  <si>
    <t>考核指标</t>
  </si>
  <si>
    <t>年度目标</t>
  </si>
  <si>
    <t>评价等级（每个等级对应目标）</t>
  </si>
  <si>
    <t>权重
比例</t>
  </si>
  <si>
    <t>数据来源</t>
  </si>
  <si>
    <t>完成情况</t>
  </si>
  <si>
    <t>实际得分</t>
  </si>
  <si>
    <t>备注</t>
  </si>
  <si>
    <t>A（120%）</t>
  </si>
  <si>
    <t>B（100%）</t>
  </si>
  <si>
    <t>C（90%）</t>
  </si>
  <si>
    <t>D（80%）</t>
  </si>
  <si>
    <t>E（0）</t>
  </si>
  <si>
    <t>KPI</t>
  </si>
  <si>
    <t>李涛</t>
  </si>
  <si>
    <t>Sandwich项目管理支持</t>
  </si>
  <si>
    <t>1）连续氢化建设项目管理支持：
目前项目已推进至 HAZOP 完成阶段。2026年将持续支持并协调 CFCT、IEPE 与 SW 各方，推进布局设计、工程采购、CE认证、测试验证等工作，做好跨团队沟通与协同，保障项目按计划整体推进。</t>
  </si>
  <si>
    <t>完成年度目标，自评结合上级评价【加分上限为指标权重的20%】</t>
  </si>
  <si>
    <t>自评+上级领导审核</t>
  </si>
  <si>
    <t>作为国内项目管理支持，协调 CFCT、IEPE 与 UK Sandwich 三方，系统推动项目整体节奏，主要进展如下：
• 已推动关闭三方之间 30 余项关键设计议题（含 PFD / P&amp;ID / URS 三大设计文件对齐、SE01 气液分离器方案闭环、CE-MD 认证范围确定、防爆区域划分方向确定等），主要设计文件基本齐备；
• 建立并稳定运行中英双方的技术协作机制，通过双语《会议纪要跟踪表》系统跟踪超过 100 项议题，对英方问询、技术分歧、设计变更做到全过程可追溯；
• 有效应对超临界流体安全阀泄放计算等前沿技术议题，组织国内技术团队与 UK 同行建立对等技术对话，避免项目在关键节点上被动等待；
• 设计基线对齐工作 —— 汇总国内 33 项待澄清问题与 UK 一方 59 项 Risk Register 合并至统一跟踪；
下半年计划：继续推动详细设计完成、主设备采购启动、CE 认证正式启动，为 2027 年 FAT 与现场开车目标铺路。项目整体节奏可控。</t>
  </si>
  <si>
    <t>项目按计划推进，超期风险已受控</t>
  </si>
  <si>
    <t>2）HPLC和冻干机建设项目管理支持：
目前项目已完成可行性研究及投资框架梳理。2026年将持续支持并协调工程设备部与 SW 方，推进下阶段设计、长周期设备采购决策及相关配套事项对接，保障项目有序实施。</t>
  </si>
  <si>
    <t>作为国内项目管理支持，协调工程设备部与 UK Sandwich 两方，系统推动制备色谱及冻干机改造项目节奏，主要进展如下：
• 全程跟进英国侧可行性研究讲解及多轮专题会，推动方案布局与投资口径在英方与国内团队之间形成一致理解，可行性研究结论及投资框架已明确；
• 汇总项目投资与进度信息，编制多版组合汇报材料，支撑汇报与下阶段决策沟通；
• 持续跟进设备供货与方案变更确认，协调国内团队经验输入，并统筹色谱冻干改造与 C1 模块升级、高活实验室等配套事项的接口对接，避免各子项割裂推进；</t>
  </si>
  <si>
    <t>项目处于早期阶段，按计划推进</t>
  </si>
  <si>
    <t>3）902贴建项目管理支持：
目前项目已完成东侧扩建可行性研究（2026年5月）。2026年将持续支持并协调工程设备部与 SW 方，推进概念设计、关键方案确认及与国内团队的信息闭环，确保项目按计划开展。</t>
  </si>
  <si>
    <t>作为国内项目管理支持，协调工程设备部与 UK Sandwich 及设计方，系统推动 902 东侧扩建项目节奏，主要进展如下：
• 全程参与可行性研究讲解会，整理中文详细纪要及对内通报材料，推动国内团队理解推荐方案及关键前提假设；
• 协助完成投资量级、风险与总控计划的梳理解读，编制汇报材料，支撑扩建项目投资与进度决策；</t>
  </si>
  <si>
    <t>Sandwich 相关支持任务</t>
  </si>
  <si>
    <t>负责 Sandwich 站点年度预算申请、执行监控及回顾，并协调机器学习研讨小组，推动相关技术交流与协作落地</t>
  </si>
  <si>
    <t>月概算和月回顾100%完成</t>
  </si>
  <si>
    <t>100%＞完成率≥90%</t>
  </si>
  <si>
    <t>90%＞完成率≥80%</t>
  </si>
  <si>
    <t>80%＞完成率≥70%</t>
  </si>
  <si>
    <t>完成率＜70%</t>
  </si>
  <si>
    <t>承担 Sandwich 站点预算及机器学习研讨小组相关支持，主要进展如下：
• 参与 Sandwich 站点年度预算申请、执行跟踪相关数据整理与内外沟通支持；
• 协调机器学习研讨小组交流安排，推动相关技术议题按计划开展；</t>
  </si>
  <si>
    <t>月概算与月回顾按时 100% 完成</t>
  </si>
  <si>
    <t>重点工作</t>
  </si>
  <si>
    <t>配合推进电算化等生产管理重点工作。
支持生产管理重点工作的落实，全力推动，确保各项工作顺利开展。</t>
  </si>
  <si>
    <t>承担生产管理 AI 应用推动相关工作，围绕重点方向梳理、供应商评估与跨部门协同，主要进展如下：
• 系统梳理生产管理 6 大 AI 应用方向（涵盖报告撰写 / 技术转移 / 设备管理 / 视觉合规 / 培训生成），编制思路方案与逐项落地推进方案，形成集团 AI 布局的横向蓝图；
• 对智现未来、埃森哲、远景智能等潜在合作商的深度评估，输出内部评估报告，形成合作思路；
• 推进设备预测性维护 —— 完成和利时、信力共擎、埃森哲三方方案对比，对埃森哲 PdM 会议后的总结与汇报编制；
• 与 IT 联合输出 6 方向工程化实施方案，并配合对生产看板在氨基酸项目按项目口径统计功能上的需求对接；
• 配合电算化等生产管理其他数智化重点工作按上级安排推进。</t>
  </si>
  <si>
    <t>按上级安排配合推进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</si>
</sst>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mmm;@"/>
  </numFmts>
  <fonts count="27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Microsoft YaHe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7" borderId="10">
      <alignment vertical="center"/>
    </xf>
    <xf numFmtId="0" fontId="16" fillId="8" borderId="11">
      <alignment vertical="center"/>
    </xf>
    <xf numFmtId="0" fontId="17" fillId="8" borderId="10">
      <alignment vertical="center"/>
    </xf>
    <xf numFmtId="0" fontId="18" fillId="9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4" borderId="0">
      <alignment vertical="center"/>
    </xf>
    <xf numFmtId="0" fontId="25" fillId="14" borderId="0">
      <alignment vertical="center"/>
    </xf>
    <xf numFmtId="0" fontId="24" fillId="3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176" fontId="26" fillId="0" borderId="0"/>
    <xf numFmtId="176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Font="1" applyFill="1" applyBorder="1" applyAlignment="1">
      <alignment horizontal="center" vertical="center" wrapText="1"/>
    </xf>
    <xf numFmtId="176" fontId="2" fillId="3" borderId="1" xfId="49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76" fontId="2" fillId="4" borderId="1" xfId="49" applyFont="1" applyFill="1" applyBorder="1" applyAlignment="1">
      <alignment horizontal="center" vertical="center" wrapText="1"/>
    </xf>
    <xf numFmtId="0" fontId="0" fillId="0" borderId="4" xfId="0" applyBorder="1"/>
    <xf numFmtId="176" fontId="2" fillId="3" borderId="1" xfId="50" applyFont="1" applyFill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 wrapText="1"/>
    </xf>
    <xf numFmtId="0" fontId="2" fillId="0" borderId="1" xfId="5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9" fontId="2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9" fontId="4" fillId="4" borderId="5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1" xfId="51" applyFont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2" fillId="0" borderId="1" xfId="52" applyFont="1" applyBorder="1" applyAlignment="1">
      <alignment vertical="top" wrapText="1"/>
    </xf>
    <xf numFmtId="0" fontId="3" fillId="0" borderId="1" xfId="52" applyFont="1" applyBorder="1" applyAlignment="1">
      <alignment horizontal="left" vertical="center" wrapText="1"/>
    </xf>
    <xf numFmtId="0" fontId="3" fillId="0" borderId="1" xfId="53" applyFont="1" applyBorder="1" applyAlignment="1">
      <alignment vertical="center" wrapText="1"/>
    </xf>
    <xf numFmtId="0" fontId="5" fillId="0" borderId="1" xfId="51" applyFont="1" applyBorder="1" applyAlignment="1">
      <alignment horizontal="center" vertical="center" wrapText="1"/>
    </xf>
    <xf numFmtId="177" fontId="5" fillId="0" borderId="1" xfId="51" applyNumberFormat="1" applyFont="1" applyBorder="1" applyAlignment="1">
      <alignment horizontal="center" vertical="center" wrapText="1"/>
    </xf>
    <xf numFmtId="177" fontId="3" fillId="5" borderId="1" xfId="51" applyNumberFormat="1" applyFont="1" applyFill="1" applyBorder="1" applyAlignment="1">
      <alignment vertical="center" wrapText="1"/>
    </xf>
    <xf numFmtId="9" fontId="5" fillId="0" borderId="1" xfId="51" applyNumberFormat="1" applyFont="1" applyBorder="1" applyAlignment="1">
      <alignment horizontal="center" vertical="center" wrapText="1"/>
    </xf>
    <xf numFmtId="177" fontId="6" fillId="0" borderId="1" xfId="51" applyNumberFormat="1" applyFont="1" applyBorder="1" applyAlignment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0 2 2 2" xfId="49"/>
    <cellStyle name="常规 108 2 2 2 7 2 2" xfId="50"/>
    <cellStyle name="常规 7 2" xfId="51"/>
    <cellStyle name="常规 2 5" xfId="52"/>
    <cellStyle name="常规 103 4 2 7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7719;&#24635;&#12305;&#20154;&#21592;&#28165;&#21333;&amp;&#25351;&#26631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</row>
        <row r="2"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</row>
        <row r="3">
          <cell r="L3" t="str">
            <v>SVP</v>
          </cell>
        </row>
        <row r="3"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</row>
        <row r="4">
          <cell r="L4" t="str">
            <v>SVP</v>
          </cell>
        </row>
        <row r="4"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</row>
        <row r="5"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</row>
        <row r="6">
          <cell r="L6" t="str">
            <v>SVP</v>
          </cell>
        </row>
        <row r="6"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</row>
        <row r="7">
          <cell r="L7" t="str">
            <v>SVP</v>
          </cell>
        </row>
        <row r="7"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</row>
        <row r="8"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</row>
        <row r="9">
          <cell r="L9" t="str">
            <v>研发</v>
          </cell>
        </row>
        <row r="9"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</row>
        <row r="10">
          <cell r="L10" t="str">
            <v>研发</v>
          </cell>
        </row>
        <row r="10"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</row>
        <row r="11">
          <cell r="L11" t="str">
            <v>研发</v>
          </cell>
        </row>
        <row r="11"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</row>
        <row r="12"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</row>
        <row r="13">
          <cell r="L13" t="str">
            <v>研发</v>
          </cell>
        </row>
        <row r="13"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</row>
        <row r="14"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</row>
        <row r="15"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</row>
        <row r="16"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</row>
        <row r="17">
          <cell r="L17" t="str">
            <v>研发</v>
          </cell>
        </row>
        <row r="17"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</row>
        <row r="18">
          <cell r="L18" t="str">
            <v>研发</v>
          </cell>
        </row>
        <row r="18"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</row>
        <row r="19">
          <cell r="L19" t="str">
            <v>研发</v>
          </cell>
        </row>
        <row r="19"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</row>
        <row r="20"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</row>
        <row r="21">
          <cell r="L21" t="str">
            <v>研发</v>
          </cell>
        </row>
        <row r="21"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</row>
        <row r="22">
          <cell r="L22" t="str">
            <v>研发</v>
          </cell>
        </row>
        <row r="22"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</row>
        <row r="23"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</row>
        <row r="24">
          <cell r="L24" t="str">
            <v>研发</v>
          </cell>
        </row>
        <row r="24"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</row>
        <row r="25">
          <cell r="L25" t="str">
            <v>研发</v>
          </cell>
        </row>
        <row r="25"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</row>
        <row r="26"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</row>
        <row r="27">
          <cell r="L27" t="str">
            <v>研发</v>
          </cell>
        </row>
        <row r="27"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</row>
        <row r="28"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</row>
        <row r="29">
          <cell r="L29" t="str">
            <v>研发</v>
          </cell>
        </row>
        <row r="29"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</row>
        <row r="30"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</row>
        <row r="31"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</row>
        <row r="32">
          <cell r="L32" t="str">
            <v>研发</v>
          </cell>
        </row>
        <row r="32"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</row>
        <row r="33">
          <cell r="L33" t="str">
            <v>研发</v>
          </cell>
        </row>
        <row r="33"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</row>
        <row r="34">
          <cell r="L34" t="str">
            <v>研发</v>
          </cell>
        </row>
        <row r="34"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</row>
        <row r="35">
          <cell r="J35" t="str">
            <v>高层</v>
          </cell>
        </row>
        <row r="35">
          <cell r="L35" t="str">
            <v>研发</v>
          </cell>
        </row>
        <row r="35"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</row>
        <row r="36"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</row>
        <row r="37">
          <cell r="L37" t="str">
            <v>研发</v>
          </cell>
        </row>
        <row r="37"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</row>
        <row r="38"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</row>
        <row r="39">
          <cell r="L39" t="str">
            <v>生产</v>
          </cell>
        </row>
        <row r="39"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</row>
        <row r="40">
          <cell r="L40" t="str">
            <v>生产</v>
          </cell>
        </row>
        <row r="40"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</row>
        <row r="41">
          <cell r="L41" t="str">
            <v>生产</v>
          </cell>
        </row>
        <row r="41"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</row>
        <row r="42">
          <cell r="L42" t="str">
            <v>生产</v>
          </cell>
        </row>
        <row r="42"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</row>
        <row r="43"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</row>
        <row r="44">
          <cell r="L44" t="str">
            <v>生产</v>
          </cell>
        </row>
        <row r="44"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</row>
        <row r="45">
          <cell r="L45" t="str">
            <v>生产</v>
          </cell>
        </row>
        <row r="45"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</row>
        <row r="46">
          <cell r="L46" t="str">
            <v>生产</v>
          </cell>
        </row>
        <row r="46"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</row>
        <row r="47">
          <cell r="L47" t="str">
            <v>生产</v>
          </cell>
        </row>
        <row r="47"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</row>
        <row r="48">
          <cell r="L48" t="str">
            <v>生产</v>
          </cell>
        </row>
        <row r="48"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</row>
        <row r="49"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</row>
        <row r="50">
          <cell r="L50" t="str">
            <v>生产</v>
          </cell>
        </row>
        <row r="50"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</row>
        <row r="51">
          <cell r="L51" t="str">
            <v>生产</v>
          </cell>
        </row>
        <row r="51"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</row>
        <row r="52">
          <cell r="L52" t="str">
            <v>生产</v>
          </cell>
        </row>
        <row r="52"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</row>
        <row r="53">
          <cell r="L53" t="str">
            <v>生产</v>
          </cell>
        </row>
        <row r="53"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</row>
        <row r="54">
          <cell r="L54" t="str">
            <v>生产</v>
          </cell>
        </row>
        <row r="54"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</row>
        <row r="55">
          <cell r="L55" t="str">
            <v>生产</v>
          </cell>
        </row>
        <row r="55"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</row>
        <row r="56"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</row>
        <row r="57">
          <cell r="L57" t="str">
            <v>生产</v>
          </cell>
        </row>
        <row r="57"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</row>
        <row r="58">
          <cell r="L58" t="str">
            <v>生产</v>
          </cell>
        </row>
        <row r="58"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</row>
        <row r="59">
          <cell r="L59" t="str">
            <v>生产</v>
          </cell>
        </row>
        <row r="59"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</row>
        <row r="60">
          <cell r="L60" t="str">
            <v>生产</v>
          </cell>
        </row>
        <row r="60"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</row>
        <row r="61">
          <cell r="L61" t="str">
            <v>生产</v>
          </cell>
        </row>
        <row r="61"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</row>
        <row r="62">
          <cell r="L62" t="str">
            <v>生产</v>
          </cell>
        </row>
        <row r="62"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</row>
        <row r="63">
          <cell r="L63" t="str">
            <v>生产</v>
          </cell>
        </row>
        <row r="63"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</row>
        <row r="64">
          <cell r="L64" t="str">
            <v>生产</v>
          </cell>
        </row>
        <row r="64"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</row>
        <row r="65">
          <cell r="J65" t="str">
            <v>高层</v>
          </cell>
        </row>
        <row r="65">
          <cell r="L65" t="str">
            <v>职能</v>
          </cell>
        </row>
        <row r="65"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</row>
        <row r="66"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</row>
        <row r="67"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</row>
        <row r="68">
          <cell r="L68" t="str">
            <v>生产</v>
          </cell>
        </row>
        <row r="68"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</row>
        <row r="69">
          <cell r="L69" t="str">
            <v>生产</v>
          </cell>
        </row>
        <row r="69"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</row>
        <row r="70"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</row>
        <row r="71">
          <cell r="L71" t="str">
            <v>生产</v>
          </cell>
        </row>
        <row r="71"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</row>
        <row r="72"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</row>
        <row r="73">
          <cell r="L73" t="str">
            <v>生产</v>
          </cell>
        </row>
        <row r="73"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</row>
        <row r="74">
          <cell r="L74" t="str">
            <v>生产</v>
          </cell>
        </row>
        <row r="74"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</row>
        <row r="75"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</row>
        <row r="76"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</row>
        <row r="77">
          <cell r="L77" t="str">
            <v>分析</v>
          </cell>
        </row>
        <row r="77"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</row>
        <row r="78"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</row>
        <row r="79"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</row>
        <row r="80">
          <cell r="L80" t="str">
            <v>分析</v>
          </cell>
        </row>
        <row r="80"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</row>
        <row r="81">
          <cell r="L81" t="str">
            <v>分析</v>
          </cell>
        </row>
        <row r="81"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</row>
        <row r="82"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</row>
        <row r="83">
          <cell r="L83" t="str">
            <v>分析</v>
          </cell>
        </row>
        <row r="83"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</row>
        <row r="84">
          <cell r="L84" t="str">
            <v>分析</v>
          </cell>
        </row>
        <row r="84"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</row>
        <row r="85">
          <cell r="L85" t="str">
            <v>分析</v>
          </cell>
        </row>
        <row r="85"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</row>
        <row r="86"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</row>
        <row r="87">
          <cell r="L87" t="str">
            <v>分析</v>
          </cell>
        </row>
        <row r="87"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</row>
        <row r="88">
          <cell r="L88" t="str">
            <v>分析</v>
          </cell>
        </row>
        <row r="88"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</row>
        <row r="89"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</row>
        <row r="90"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</row>
        <row r="91"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</row>
        <row r="92">
          <cell r="L92" t="str">
            <v>分析</v>
          </cell>
        </row>
        <row r="92"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</row>
        <row r="93"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</row>
        <row r="94"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</row>
        <row r="95"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</row>
        <row r="96">
          <cell r="L96" t="str">
            <v>分析</v>
          </cell>
        </row>
        <row r="96"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</row>
        <row r="97">
          <cell r="L97" t="str">
            <v>分析</v>
          </cell>
        </row>
        <row r="97"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</row>
        <row r="98">
          <cell r="L98" t="str">
            <v>分析</v>
          </cell>
        </row>
        <row r="98"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</row>
        <row r="99"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</row>
        <row r="100">
          <cell r="L100" t="str">
            <v>分析</v>
          </cell>
        </row>
        <row r="100"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</row>
        <row r="101"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</row>
        <row r="102">
          <cell r="L102" t="str">
            <v>分析</v>
          </cell>
        </row>
        <row r="102"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</row>
        <row r="103"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</row>
        <row r="104">
          <cell r="L104" t="str">
            <v>分析</v>
          </cell>
        </row>
        <row r="104"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</row>
        <row r="105"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</row>
        <row r="106">
          <cell r="L106" t="str">
            <v>研发平台</v>
          </cell>
        </row>
        <row r="106"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</row>
        <row r="107">
          <cell r="L107" t="str">
            <v>研发平台</v>
          </cell>
        </row>
        <row r="107"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</row>
        <row r="108">
          <cell r="L108" t="str">
            <v>研发平台</v>
          </cell>
        </row>
        <row r="108"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</row>
        <row r="109">
          <cell r="L109" t="str">
            <v>研发平台</v>
          </cell>
        </row>
        <row r="109"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</row>
        <row r="110"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</row>
        <row r="111">
          <cell r="L111" t="str">
            <v>研发平台</v>
          </cell>
        </row>
        <row r="111"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</row>
        <row r="112"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</row>
        <row r="113">
          <cell r="L113" t="str">
            <v>研发平台</v>
          </cell>
        </row>
        <row r="113"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</row>
        <row r="114"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</row>
        <row r="115">
          <cell r="L115" t="str">
            <v>研发平台</v>
          </cell>
        </row>
        <row r="115"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</row>
        <row r="116">
          <cell r="L116" t="str">
            <v>研发平台</v>
          </cell>
        </row>
        <row r="116"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</row>
        <row r="117">
          <cell r="L117" t="str">
            <v>研发平台</v>
          </cell>
        </row>
        <row r="117"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</row>
        <row r="118">
          <cell r="L118" t="str">
            <v>研发平台</v>
          </cell>
        </row>
        <row r="118"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</row>
        <row r="119"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</row>
        <row r="120"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</row>
        <row r="121"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</row>
        <row r="122">
          <cell r="L122" t="str">
            <v>职能</v>
          </cell>
        </row>
        <row r="122"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</row>
        <row r="123">
          <cell r="L123" t="str">
            <v>职能</v>
          </cell>
        </row>
        <row r="123"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</row>
        <row r="124">
          <cell r="L124" t="str">
            <v>职能</v>
          </cell>
        </row>
        <row r="124"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</row>
        <row r="125">
          <cell r="L125" t="str">
            <v>职能</v>
          </cell>
        </row>
        <row r="125"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</row>
        <row r="126">
          <cell r="L126" t="str">
            <v>职能</v>
          </cell>
        </row>
        <row r="126"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</row>
        <row r="127">
          <cell r="L127" t="str">
            <v>职能</v>
          </cell>
        </row>
        <row r="127"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</row>
        <row r="128">
          <cell r="L128" t="str">
            <v>职能</v>
          </cell>
        </row>
        <row r="128"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</row>
        <row r="129">
          <cell r="L129" t="str">
            <v>职能</v>
          </cell>
        </row>
        <row r="129"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</row>
        <row r="130">
          <cell r="L130" t="str">
            <v>职能</v>
          </cell>
        </row>
        <row r="130"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</row>
        <row r="131">
          <cell r="L131" t="str">
            <v>职能</v>
          </cell>
        </row>
        <row r="131"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</row>
        <row r="132">
          <cell r="L132" t="str">
            <v>职能</v>
          </cell>
        </row>
        <row r="132"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</row>
        <row r="133">
          <cell r="L133" t="str">
            <v>职能</v>
          </cell>
        </row>
        <row r="133"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</row>
        <row r="134">
          <cell r="L134" t="str">
            <v>职能</v>
          </cell>
        </row>
        <row r="134"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</row>
        <row r="135">
          <cell r="L135" t="str">
            <v>职能</v>
          </cell>
        </row>
        <row r="135"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</row>
        <row r="136">
          <cell r="L136" t="str">
            <v>职能</v>
          </cell>
        </row>
        <row r="136"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</row>
        <row r="137">
          <cell r="L137" t="str">
            <v>职能</v>
          </cell>
        </row>
        <row r="137"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</row>
        <row r="138">
          <cell r="L138" t="str">
            <v>职能</v>
          </cell>
        </row>
        <row r="138"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</row>
        <row r="139">
          <cell r="L139" t="str">
            <v>职能</v>
          </cell>
        </row>
        <row r="139"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</row>
        <row r="140">
          <cell r="L140" t="str">
            <v>职能</v>
          </cell>
        </row>
        <row r="140"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</row>
        <row r="141">
          <cell r="L141" t="str">
            <v>职能</v>
          </cell>
        </row>
        <row r="141"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</row>
        <row r="142">
          <cell r="L142" t="str">
            <v>职能</v>
          </cell>
        </row>
        <row r="142"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</row>
        <row r="143">
          <cell r="L143" t="str">
            <v>职能</v>
          </cell>
        </row>
        <row r="143"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</row>
        <row r="144">
          <cell r="L144" t="str">
            <v>职能</v>
          </cell>
        </row>
        <row r="144"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</row>
        <row r="145">
          <cell r="L145" t="str">
            <v>职能</v>
          </cell>
        </row>
        <row r="145"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</row>
        <row r="146">
          <cell r="L146" t="str">
            <v>职能</v>
          </cell>
        </row>
        <row r="146"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</row>
        <row r="147">
          <cell r="L147" t="str">
            <v>职能</v>
          </cell>
        </row>
        <row r="147"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</row>
        <row r="148">
          <cell r="L148" t="str">
            <v>职能</v>
          </cell>
        </row>
        <row r="148"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</row>
        <row r="149">
          <cell r="L149" t="str">
            <v>职能</v>
          </cell>
        </row>
        <row r="149"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</row>
        <row r="150">
          <cell r="L150" t="str">
            <v>职能</v>
          </cell>
        </row>
        <row r="150"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</row>
        <row r="151">
          <cell r="L151" t="str">
            <v>职能</v>
          </cell>
        </row>
        <row r="151"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</row>
        <row r="152">
          <cell r="L152" t="str">
            <v>职能</v>
          </cell>
        </row>
        <row r="152"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</row>
        <row r="153">
          <cell r="L153" t="str">
            <v>职能</v>
          </cell>
        </row>
        <row r="153"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</row>
        <row r="154">
          <cell r="L154" t="str">
            <v>职能</v>
          </cell>
        </row>
        <row r="154"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</row>
        <row r="155">
          <cell r="L155" t="str">
            <v>职能</v>
          </cell>
        </row>
        <row r="155"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</row>
        <row r="156">
          <cell r="L156" t="str">
            <v>职能</v>
          </cell>
        </row>
        <row r="156"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</row>
        <row r="157">
          <cell r="L157" t="str">
            <v>职能</v>
          </cell>
        </row>
        <row r="157"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</row>
        <row r="158">
          <cell r="L158" t="str">
            <v>职能</v>
          </cell>
        </row>
        <row r="158"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</row>
        <row r="159">
          <cell r="L159" t="str">
            <v>职能</v>
          </cell>
        </row>
        <row r="159"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</row>
        <row r="160">
          <cell r="L160" t="str">
            <v>职能</v>
          </cell>
        </row>
        <row r="160"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</row>
        <row r="161">
          <cell r="L161" t="str">
            <v>职能</v>
          </cell>
        </row>
        <row r="161"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</row>
        <row r="162">
          <cell r="L162" t="str">
            <v>职能</v>
          </cell>
        </row>
        <row r="162"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</row>
        <row r="163">
          <cell r="L163" t="str">
            <v>职能</v>
          </cell>
        </row>
        <row r="163"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</row>
        <row r="164">
          <cell r="L164" t="str">
            <v>职能</v>
          </cell>
        </row>
        <row r="164"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</row>
        <row r="165">
          <cell r="L165" t="str">
            <v>职能</v>
          </cell>
        </row>
        <row r="165"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</row>
        <row r="166">
          <cell r="L166" t="str">
            <v>职能</v>
          </cell>
        </row>
        <row r="166"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</row>
        <row r="167">
          <cell r="L167" t="str">
            <v>职能</v>
          </cell>
        </row>
        <row r="167"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</row>
        <row r="168">
          <cell r="L168" t="str">
            <v>职能</v>
          </cell>
        </row>
        <row r="168"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</row>
        <row r="169">
          <cell r="L169" t="str">
            <v>职能</v>
          </cell>
        </row>
        <row r="169"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</row>
        <row r="170">
          <cell r="L170" t="str">
            <v>职能</v>
          </cell>
        </row>
        <row r="170"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8"/>
  <sheetViews>
    <sheetView tabSelected="1" topLeftCell="I1" workbookViewId="0">
      <selection activeCell="P9" sqref="P9"/>
    </sheetView>
  </sheetViews>
  <sheetFormatPr defaultColWidth="9" defaultRowHeight="14.5" outlineLevelRow="7"/>
  <cols>
    <col min="1" max="1" width="2.26363636363636" customWidth="1"/>
    <col min="2" max="2" width="4.72727272727273" customWidth="1"/>
    <col min="3" max="3" width="5.86363636363636" customWidth="1"/>
    <col min="5" max="5" width="7.46363636363636" customWidth="1"/>
    <col min="6" max="6" width="10.7272727272727" customWidth="1"/>
    <col min="7" max="7" width="45.4" customWidth="1"/>
    <col min="8" max="12" width="11.4" customWidth="1"/>
    <col min="13" max="13" width="5.72727272727273" customWidth="1"/>
    <col min="14" max="14" width="12.2636363636364" customWidth="1"/>
    <col min="15" max="15" width="56.8181818181818" customWidth="1"/>
    <col min="16" max="16" width="10" customWidth="1"/>
    <col min="17" max="17" width="26" customWidth="1"/>
  </cols>
  <sheetData>
    <row r="2" ht="14.65" customHeight="1" spans="2:17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5"/>
      <c r="J2" s="5"/>
      <c r="K2" s="5"/>
      <c r="L2" s="6"/>
      <c r="M2" s="3" t="s">
        <v>7</v>
      </c>
      <c r="N2" s="3" t="s">
        <v>8</v>
      </c>
      <c r="O2" s="7" t="s">
        <v>9</v>
      </c>
      <c r="P2" s="7" t="s">
        <v>10</v>
      </c>
      <c r="Q2" s="7" t="s">
        <v>11</v>
      </c>
    </row>
    <row r="3" ht="14.65" customHeight="1" spans="2:17"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8"/>
      <c r="N3" s="8"/>
      <c r="O3" s="8"/>
      <c r="P3" s="8"/>
      <c r="Q3" s="8"/>
    </row>
    <row r="4" s="1" customFormat="1" ht="217.5" customHeight="1" spans="2:17">
      <c r="B4" s="10">
        <v>1</v>
      </c>
      <c r="C4" s="10" t="s">
        <v>17</v>
      </c>
      <c r="D4" s="10" t="str">
        <f>VLOOKUP(E4,'[1]2026年上-人员清单'!$F:$N,9,0)</f>
        <v>集团生产管理办公室</v>
      </c>
      <c r="E4" s="10" t="s">
        <v>18</v>
      </c>
      <c r="F4" s="10" t="s">
        <v>19</v>
      </c>
      <c r="G4" s="11" t="s">
        <v>20</v>
      </c>
      <c r="H4" s="12" t="s">
        <v>21</v>
      </c>
      <c r="I4" s="5"/>
      <c r="J4" s="5"/>
      <c r="K4" s="5"/>
      <c r="L4" s="6"/>
      <c r="M4" s="13">
        <v>0.5</v>
      </c>
      <c r="N4" s="14" t="s">
        <v>22</v>
      </c>
      <c r="O4" s="15" t="s">
        <v>23</v>
      </c>
      <c r="P4" s="16">
        <v>1</v>
      </c>
      <c r="Q4" s="15" t="s">
        <v>24</v>
      </c>
    </row>
    <row r="5" s="1" customFormat="1" ht="145" customHeight="1" spans="2:17">
      <c r="B5" s="17"/>
      <c r="C5" s="17"/>
      <c r="D5" s="17"/>
      <c r="E5" s="17"/>
      <c r="F5" s="17"/>
      <c r="G5" s="18" t="s">
        <v>25</v>
      </c>
      <c r="H5" s="12" t="s">
        <v>21</v>
      </c>
      <c r="I5" s="5"/>
      <c r="J5" s="5"/>
      <c r="K5" s="5"/>
      <c r="L5" s="6"/>
      <c r="M5" s="17"/>
      <c r="N5" s="17"/>
      <c r="O5" s="19" t="s">
        <v>26</v>
      </c>
      <c r="P5" s="16">
        <v>1</v>
      </c>
      <c r="Q5" s="15" t="s">
        <v>27</v>
      </c>
    </row>
    <row r="6" s="1" customFormat="1" ht="87" customHeight="1" spans="2:17">
      <c r="B6" s="8"/>
      <c r="C6" s="8"/>
      <c r="D6" s="8"/>
      <c r="E6" s="8"/>
      <c r="F6" s="8"/>
      <c r="G6" s="20" t="s">
        <v>28</v>
      </c>
      <c r="H6" s="12" t="s">
        <v>21</v>
      </c>
      <c r="I6" s="5"/>
      <c r="J6" s="5"/>
      <c r="K6" s="5"/>
      <c r="L6" s="6"/>
      <c r="M6" s="8"/>
      <c r="N6" s="8"/>
      <c r="O6" s="19" t="s">
        <v>29</v>
      </c>
      <c r="P6" s="16">
        <v>1</v>
      </c>
      <c r="Q6" s="15" t="s">
        <v>27</v>
      </c>
    </row>
    <row r="7" s="1" customFormat="1" ht="80" customHeight="1" spans="2:17">
      <c r="B7" s="10">
        <v>2</v>
      </c>
      <c r="C7" s="10" t="s">
        <v>17</v>
      </c>
      <c r="D7" s="10" t="str">
        <f>VLOOKUP(E7,'[1]2026年上-人员清单'!$F:$N,9,0)</f>
        <v>集团生产管理办公室</v>
      </c>
      <c r="E7" s="10" t="s">
        <v>18</v>
      </c>
      <c r="F7" s="10" t="s">
        <v>30</v>
      </c>
      <c r="G7" s="21" t="s">
        <v>31</v>
      </c>
      <c r="H7" s="22" t="s">
        <v>32</v>
      </c>
      <c r="I7" s="22" t="s">
        <v>33</v>
      </c>
      <c r="J7" s="22" t="s">
        <v>34</v>
      </c>
      <c r="K7" s="22" t="s">
        <v>35</v>
      </c>
      <c r="L7" s="22" t="s">
        <v>36</v>
      </c>
      <c r="M7" s="13">
        <v>0.2</v>
      </c>
      <c r="N7" s="14" t="s">
        <v>22</v>
      </c>
      <c r="O7" s="19" t="s">
        <v>37</v>
      </c>
      <c r="P7" s="16">
        <v>1</v>
      </c>
      <c r="Q7" s="15" t="s">
        <v>38</v>
      </c>
    </row>
    <row r="8" s="1" customFormat="1" ht="174" spans="2:17">
      <c r="B8" s="23">
        <v>3</v>
      </c>
      <c r="C8" s="24" t="s">
        <v>17</v>
      </c>
      <c r="D8" s="24" t="str">
        <f>VLOOKUP(E8,'[1]2026年上-人员清单'!$F:$N,9,0)</f>
        <v>集团生产管理办公室</v>
      </c>
      <c r="E8" s="24" t="s">
        <v>18</v>
      </c>
      <c r="F8" s="24" t="s">
        <v>39</v>
      </c>
      <c r="G8" s="25" t="s">
        <v>40</v>
      </c>
      <c r="H8" s="12" t="s">
        <v>21</v>
      </c>
      <c r="I8" s="5"/>
      <c r="J8" s="5"/>
      <c r="K8" s="5"/>
      <c r="L8" s="6"/>
      <c r="M8" s="26">
        <v>0.3</v>
      </c>
      <c r="N8" s="27" t="s">
        <v>22</v>
      </c>
      <c r="O8" s="15" t="s">
        <v>41</v>
      </c>
      <c r="P8" s="16">
        <v>1</v>
      </c>
      <c r="Q8" s="15" t="s">
        <v>42</v>
      </c>
    </row>
  </sheetData>
  <mergeCells count="23">
    <mergeCell ref="H2:L2"/>
    <mergeCell ref="H4:L4"/>
    <mergeCell ref="H5:L5"/>
    <mergeCell ref="H6:L6"/>
    <mergeCell ref="H8:L8"/>
    <mergeCell ref="B2:B3"/>
    <mergeCell ref="B4:B6"/>
    <mergeCell ref="C2:C3"/>
    <mergeCell ref="C4:C6"/>
    <mergeCell ref="D2:D3"/>
    <mergeCell ref="D4:D6"/>
    <mergeCell ref="E2:E3"/>
    <mergeCell ref="E4:E6"/>
    <mergeCell ref="F2:F3"/>
    <mergeCell ref="F4:F6"/>
    <mergeCell ref="G2:G3"/>
    <mergeCell ref="M2:M3"/>
    <mergeCell ref="M4:M6"/>
    <mergeCell ref="N2:N3"/>
    <mergeCell ref="N4:N6"/>
    <mergeCell ref="O2:O3"/>
    <mergeCell ref="P2:P3"/>
    <mergeCell ref="Q2: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李涛自评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李涛</cp:lastModifiedBy>
  <dcterms:created xsi:type="dcterms:W3CDTF">2015-06-05T18:19:00Z</dcterms:created>
  <dcterms:modified xsi:type="dcterms:W3CDTF">2026-07-06T02:36:57Z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408B853E24E4449FA8C1BB11FF639C06_12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