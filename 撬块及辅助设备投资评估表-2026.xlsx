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04工作文件\1工作项目\2026年\1、工作项目\1、Sandwich项目\13、项目核算\"/>
    </mc:Choice>
  </mc:AlternateContent>
  <bookViews>
    <workbookView xWindow="0" yWindow="0" windowWidth="18345" windowHeight="7395"/>
  </bookViews>
  <sheets>
    <sheet name="设备投资概算评估 (集团内部-Sandwich)" sheetId="1" r:id="rId1"/>
    <sheet name="反馈认证费用" sheetId="2" r:id="rId2"/>
    <sheet name="周期时间 (集团内部-Sandwich)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0" i="1" l="1"/>
  <c r="K31" i="1"/>
  <c r="K32" i="1"/>
  <c r="K33" i="1"/>
  <c r="K35" i="1"/>
  <c r="K29" i="1"/>
  <c r="K26" i="1" l="1"/>
  <c r="A26" i="1"/>
  <c r="K13" i="1" l="1"/>
  <c r="A13" i="1"/>
  <c r="L54" i="1"/>
  <c r="K54" i="1"/>
  <c r="A54" i="1"/>
  <c r="A53" i="1"/>
  <c r="K52" i="1"/>
  <c r="A52" i="1"/>
  <c r="K51" i="1"/>
  <c r="A51" i="1"/>
  <c r="K50" i="1"/>
  <c r="A50" i="1"/>
  <c r="K49" i="1"/>
  <c r="A49" i="1"/>
  <c r="K48" i="1"/>
  <c r="A48" i="1"/>
  <c r="K47" i="1"/>
  <c r="A47" i="1"/>
  <c r="K46" i="1"/>
  <c r="A46" i="1"/>
  <c r="K45" i="1"/>
  <c r="A45" i="1"/>
  <c r="K44" i="1"/>
  <c r="J44" i="1"/>
  <c r="A44" i="1"/>
  <c r="A43" i="1"/>
  <c r="K42" i="1"/>
  <c r="A42" i="1"/>
  <c r="J41" i="1"/>
  <c r="A41" i="1"/>
  <c r="A40" i="1"/>
  <c r="A39" i="1"/>
  <c r="J38" i="1"/>
  <c r="A38" i="1"/>
  <c r="K37" i="1"/>
  <c r="A37" i="1"/>
  <c r="K36" i="1"/>
  <c r="A36" i="1"/>
  <c r="K28" i="1"/>
  <c r="A28" i="1"/>
  <c r="K27" i="1"/>
  <c r="A27" i="1"/>
  <c r="K25" i="1"/>
  <c r="A25" i="1"/>
  <c r="K24" i="1"/>
  <c r="A24" i="1"/>
  <c r="K23" i="1"/>
  <c r="A23" i="1"/>
  <c r="K22" i="1"/>
  <c r="A22" i="1"/>
  <c r="K21" i="1"/>
  <c r="A21" i="1"/>
  <c r="K20" i="1"/>
  <c r="A20" i="1"/>
  <c r="J19" i="1"/>
  <c r="A19" i="1"/>
  <c r="K18" i="1"/>
  <c r="A18" i="1"/>
  <c r="K17" i="1"/>
  <c r="K19" i="1" s="1"/>
  <c r="A17" i="1"/>
  <c r="J16" i="1"/>
  <c r="A16" i="1"/>
  <c r="K15" i="1"/>
  <c r="A15" i="1"/>
  <c r="K14" i="1"/>
  <c r="A14" i="1"/>
  <c r="K12" i="1"/>
  <c r="A12" i="1"/>
  <c r="K11" i="1"/>
  <c r="A11" i="1"/>
  <c r="K10" i="1"/>
  <c r="A10" i="1"/>
  <c r="K9" i="1"/>
  <c r="A9" i="1"/>
  <c r="K8" i="1"/>
  <c r="A8" i="1"/>
  <c r="K7" i="1"/>
  <c r="A7" i="1"/>
  <c r="K6" i="1"/>
  <c r="A6" i="1"/>
  <c r="K5" i="1"/>
  <c r="A5" i="1"/>
  <c r="K4" i="1"/>
  <c r="A4" i="1"/>
  <c r="K3" i="1"/>
  <c r="A3" i="1"/>
  <c r="K38" i="1" l="1"/>
  <c r="K16" i="1"/>
  <c r="K53" i="1" l="1"/>
  <c r="K55" i="1" s="1"/>
  <c r="J55" i="1" l="1"/>
  <c r="J56" i="1" s="1"/>
  <c r="K56" i="1"/>
  <c r="L53" i="1"/>
</calcChain>
</file>

<file path=xl/sharedStrings.xml><?xml version="1.0" encoding="utf-8"?>
<sst xmlns="http://schemas.openxmlformats.org/spreadsheetml/2006/main" count="362" uniqueCount="214">
  <si>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</si>
  <si>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</si>
  <si>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</si>
  <si>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</si>
  <si>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</si>
  <si>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</si>
  <si>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</si>
  <si>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</si>
  <si>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</si>
  <si>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</si>
  <si>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</si>
  <si>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</si>
  <si>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</si>
  <si>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</si>
  <si>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</si>
  <si>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</si>
  <si>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sz val="10"/>
        <color rgb="FF000000"/>
        <rFont val="微软雅黑"/>
        <family val="2"/>
        <charset val="134"/>
      </rPr>
      <t>立式储罐，体积：</t>
    </r>
    <r>
      <rPr>
        <sz val="10"/>
        <color rgb="FF0070C0"/>
        <rFont val="微软雅黑"/>
        <family val="2"/>
        <charset val="134"/>
      </rPr>
      <t>220L</t>
    </r>
    <r>
      <rPr>
        <sz val="10"/>
        <color rgb="FF000000"/>
        <rFont val="微软雅黑"/>
        <family val="2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family val="2"/>
        <charset val="134"/>
      </rPr>
      <t>220</t>
    </r>
    <r>
      <rPr>
        <sz val="10"/>
        <color rgb="FF000000"/>
        <rFont val="微软雅黑"/>
        <family val="2"/>
        <charset val="134"/>
      </rPr>
      <t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</si>
  <si>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</si>
  <si>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</si>
  <si>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</si>
  <si>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</si>
  <si>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</si>
  <si>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</si>
  <si>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</si>
  <si>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</si>
  <si>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t>原料反应
Raw material reaction</t>
  </si>
  <si>
    <t>反应柱02
Continuous Reactor
 Column 02</t>
  </si>
  <si>
    <r>
      <rPr>
        <sz val="10"/>
        <color rgb="FF000000"/>
        <rFont val="微软雅黑"/>
        <family val="2"/>
        <charset val="134"/>
      </rPr>
      <t>立式反应柱，体积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>L，换热面积：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㎡，与物料接触材质：316L
Vertical reaction column, volume 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 ㎡, material in contact with material: 316L</t>
    </r>
  </si>
  <si>
    <t>DN65</t>
  </si>
  <si>
    <t>反应柱03
Continuous Reactor
 Column 03</t>
  </si>
  <si>
    <r>
      <rPr>
        <sz val="10"/>
        <color rgb="FF000000"/>
        <rFont val="微软雅黑"/>
        <family val="2"/>
        <charset val="134"/>
      </rPr>
      <t>立式反应柱，体积</t>
    </r>
    <r>
      <rPr>
        <sz val="10"/>
        <color rgb="FF0070C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>L，换热面积：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>㎡，与物料接触材质：316L
Vertical reaction column, volume</t>
    </r>
    <r>
      <rPr>
        <sz val="10"/>
        <color rgb="FF0070C0"/>
        <rFont val="微软雅黑"/>
        <family val="2"/>
        <charset val="134"/>
      </rPr>
      <t xml:space="preserve"> 3.5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0070C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</si>
  <si>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</si>
  <si>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</si>
  <si>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</si>
  <si>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</si>
  <si>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</si>
  <si>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</si>
  <si>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</si>
  <si>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</si>
  <si>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</si>
  <si>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</si>
  <si>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</si>
  <si>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</si>
  <si>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</si>
  <si>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</si>
  <si>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</si>
  <si>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</si>
  <si>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</si>
  <si>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</si>
  <si>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</si>
  <si>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进口品牌，自带IECE认证，英文资料</t>
  </si>
  <si>
    <t>产品转移泵
Product transfer pump</t>
  </si>
  <si>
    <t>电气仪表和自控阀门
Electrical instruments and control valves</t>
  </si>
  <si>
    <t>质量流量计
Mass Flowmeter</t>
  </si>
  <si>
    <r>
      <rPr>
        <sz val="10"/>
        <color rgb="FF000000"/>
        <rFont val="微软雅黑"/>
        <family val="2"/>
        <charset val="134"/>
      </rPr>
      <t>测量范围：0~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L/h，测量精度±0.5%，与物料接触材质：316L
Measuring range: 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</si>
  <si>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</si>
  <si>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</si>
  <si>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</si>
  <si>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</si>
  <si>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sz val="10"/>
        <color rgb="FF000000"/>
        <rFont val="微软雅黑"/>
        <family val="2"/>
        <charset val="134"/>
      </rPr>
      <t>测量范围：0-50L</t>
    </r>
    <r>
      <rPr>
        <sz val="10"/>
        <color rgb="FF000000"/>
        <rFont val="微软雅黑"/>
        <family val="2"/>
        <charset val="134"/>
      </rPr>
      <t>/min，测量精度±0.5%，与物料接触材质：</t>
    </r>
    <r>
      <rPr>
        <sz val="10"/>
        <color rgb="FF000000"/>
        <rFont val="微软雅黑"/>
        <family val="2"/>
        <charset val="134"/>
      </rPr>
      <t>316L</t>
    </r>
    <r>
      <rPr>
        <sz val="10"/>
        <color rgb="FF000000"/>
        <rFont val="微软雅黑"/>
        <family val="2"/>
        <charset val="134"/>
      </rPr>
      <t xml:space="preserve">
Measuring range: </t>
    </r>
    <r>
      <rPr>
        <sz val="10"/>
        <color rgb="FF000000"/>
        <rFont val="微软雅黑"/>
        <family val="2"/>
        <charset val="134"/>
      </rPr>
      <t>0-50L/min</t>
    </r>
    <r>
      <rPr>
        <sz val="10"/>
        <color rgb="FF000000"/>
        <rFont val="微软雅黑"/>
        <family val="2"/>
        <charset val="134"/>
      </rPr>
      <t xml:space="preserve">, Measuring accuracy: 0.5%, Material in contact with materials: </t>
    </r>
    <r>
      <rPr>
        <sz val="10"/>
        <color rgb="FF000000"/>
        <rFont val="微软雅黑"/>
        <family val="2"/>
        <charset val="134"/>
      </rPr>
      <t>316L</t>
    </r>
    <r>
      <rPr>
        <sz val="10"/>
        <color rgb="FF000000"/>
        <rFont val="微软雅黑"/>
        <family val="2"/>
        <charset val="134"/>
      </rPr>
      <t>.</t>
    </r>
  </si>
  <si>
    <t>H2</t>
  </si>
  <si>
    <r>
      <rPr>
        <sz val="10"/>
        <color rgb="FF000000"/>
        <rFont val="微软雅黑"/>
        <family val="2"/>
        <charset val="134"/>
      </rPr>
      <t>测量范围：0~</t>
    </r>
    <r>
      <rPr>
        <sz val="10"/>
        <color rgb="FF0070C0"/>
        <rFont val="微软雅黑"/>
        <family val="2"/>
        <charset val="134"/>
      </rPr>
      <t>50</t>
    </r>
    <r>
      <rPr>
        <sz val="10"/>
        <color rgb="FF000000"/>
        <rFont val="微软雅黑"/>
        <family val="2"/>
        <charset val="134"/>
      </rPr>
      <t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</si>
  <si>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</si>
  <si>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</si>
  <si>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t>N2</t>
  </si>
  <si>
    <t>温度变送器
Temperature Transmitter</t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</si>
  <si>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</si>
  <si>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</si>
  <si>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</si>
  <si>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</si>
  <si>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</si>
  <si>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</si>
  <si>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</si>
  <si>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</si>
  <si>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</si>
  <si>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</si>
  <si>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</si>
  <si>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</si>
  <si>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t>流量调节
flow regulation</t>
  </si>
  <si>
    <t>气动开关阀
Pneumatic switching valve</t>
  </si>
  <si>
    <t>控制系统
Control System</t>
  </si>
  <si>
    <t>控制系统（SCADA-现场防爆）
Control System</t>
  </si>
  <si>
    <r>
      <rPr>
        <sz val="10"/>
        <color rgb="FF000000"/>
        <rFont val="微软雅黑"/>
        <family val="2"/>
        <charset val="134"/>
      </rPr>
      <t>防爆变频柜：内置3个变频器（2.2kw），I/O模块若干，满足欧洲防爆要求（ATEX）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Explosion proof frequency conversion cabinet: equipped with 2 frequency converters and several I/O modules, meeting European explosion-proof requirements (ATEX)</t>
    </r>
  </si>
  <si>
    <r>
      <rPr>
        <sz val="10"/>
        <color rgb="FF000000"/>
        <rFont val="微软雅黑"/>
        <family val="2"/>
        <charset val="134"/>
      </rPr>
      <t>泵控制系统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Pump control System</t>
    </r>
  </si>
  <si>
    <t>西门子</t>
  </si>
  <si>
    <t>变频柜、PLC柜 合并，另外配置防爆操作站</t>
  </si>
  <si>
    <r>
      <rPr>
        <sz val="10"/>
        <color rgb="FF000000"/>
        <rFont val="微软雅黑"/>
        <family val="2"/>
        <charset val="134"/>
      </rPr>
      <t>移动防爆操作站：内置工控机，PLC控制，显示器，WINCC客户端软件，UPS电源等，满足欧洲防爆要求（ATEX）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Mobile explosion-proof operation station: built-in industrial computer, PLC control, display, WINCC client software, UPS power supply, etc., meeting European explosion-proof requirements (ATEX)</t>
    </r>
  </si>
  <si>
    <r>
      <rPr>
        <sz val="10"/>
        <color rgb="FF000000"/>
        <rFont val="微软雅黑"/>
        <family val="2"/>
        <charset val="134"/>
      </rPr>
      <t>控制系统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Control System</t>
    </r>
  </si>
  <si>
    <t>模块化组装
Modular assembly</t>
  </si>
  <si>
    <t>内部加工</t>
  </si>
  <si>
    <t>CFCT预估</t>
  </si>
  <si>
    <r>
      <rPr>
        <sz val="10"/>
        <color rgb="FF000000"/>
        <rFont val="微软雅黑"/>
        <family val="2"/>
        <charset val="134"/>
      </rPr>
      <t>仪表电气安装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E&amp;I Installation</t>
    </r>
  </si>
  <si>
    <r>
      <rPr>
        <sz val="10"/>
        <color rgb="FF000000"/>
        <rFont val="微软雅黑"/>
        <family val="2"/>
        <charset val="134"/>
      </rPr>
      <t>自控仪表、自控阀门、变频器撬装内安装、接线、测试。含撬装内部电缆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</si>
  <si>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</si>
  <si>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</si>
  <si>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sz val="10"/>
        <color rgb="FF000000"/>
        <rFont val="微软雅黑"/>
        <family val="2"/>
        <charset val="134"/>
      </rPr>
      <t>MD</t>
    </r>
    <r>
      <rPr>
        <sz val="10"/>
        <color rgb="FF000000"/>
        <rFont val="微软雅黑"/>
        <family val="2"/>
        <charset val="134"/>
      </rPr>
      <t xml:space="preserve">认证
</t>
    </r>
    <r>
      <rPr>
        <sz val="10"/>
        <color rgb="FF000000"/>
        <rFont val="微软雅黑"/>
        <family val="2"/>
        <charset val="134"/>
      </rPr>
      <t>MD</t>
    </r>
    <r>
      <rPr>
        <sz val="10"/>
        <color rgb="FF000000"/>
        <rFont val="微软雅黑"/>
        <family val="2"/>
        <charset val="134"/>
      </rPr>
      <t>certification</t>
    </r>
  </si>
  <si>
    <r>
      <rPr>
        <sz val="10"/>
        <color rgb="FF000000"/>
        <rFont val="微软雅黑"/>
        <family val="2"/>
        <charset val="134"/>
      </rPr>
      <t xml:space="preserve">Asymchem整撬认证，机械指令MD2006/42/EC
</t>
    </r>
    <r>
      <rPr>
        <sz val="10"/>
        <color rgb="FF000000"/>
        <rFont val="微软雅黑"/>
        <family val="2"/>
        <charset val="134"/>
      </rPr>
      <t>Asymchem whole pry certification, Machinery Directive MD2006/42/EC</t>
    </r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</si>
  <si>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</si>
  <si>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</si>
  <si>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</si>
  <si>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</si>
  <si>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</si>
  <si>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</si>
  <si>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</si>
  <si>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</si>
  <si>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</si>
  <si>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</si>
  <si>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 xml:space="preserve">设备安装
Equipment installation </t>
  </si>
  <si>
    <t>海外工厂设备安装
Overseas factory equipment installation</t>
  </si>
  <si>
    <t>撬块及辅助设备总费用合计：</t>
  </si>
  <si>
    <t>电仪及控制箱总费用合计：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</si>
  <si>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</si>
  <si>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</si>
  <si>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</si>
  <si>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</si>
  <si>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</si>
  <si>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</si>
  <si>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</si>
  <si>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</si>
  <si>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</si>
  <si>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</si>
  <si>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</si>
  <si>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</si>
  <si>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</si>
  <si>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sz val="10"/>
        <color rgb="FF000000"/>
        <rFont val="Arial"/>
        <family val="2"/>
      </rPr>
      <t>0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申请表：我司提供模板并指导填写；</t>
    </r>
  </si>
  <si>
    <r>
      <rPr>
        <sz val="10"/>
        <color rgb="FF000000"/>
        <rFont val="Arial"/>
        <family val="2"/>
      </rPr>
      <t>1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产品功能描述：我司提供模板并指导填写；</t>
    </r>
  </si>
  <si>
    <r>
      <rPr>
        <sz val="10"/>
        <color rgb="FF000000"/>
        <rFont val="Arial"/>
        <family val="2"/>
      </rPr>
      <t>2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机械规格表：我司提供模板并指导填写；</t>
    </r>
  </si>
  <si>
    <r>
      <rPr>
        <sz val="10"/>
        <color rgb="FF000000"/>
        <rFont val="Arial"/>
        <family val="2"/>
      </rPr>
      <t>3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图纸：</t>
    </r>
  </si>
  <si>
    <r>
      <rPr>
        <sz val="10"/>
        <color rgb="FF000000"/>
        <rFont val="Arial"/>
        <family val="2"/>
      </rPr>
      <t>3.1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机械外观尺寸图：</t>
    </r>
  </si>
  <si>
    <r>
      <rPr>
        <sz val="10"/>
        <color rgb="FF000000"/>
        <rFont val="Arial"/>
        <family val="2"/>
      </rPr>
      <t>3.2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机械主要部件图：</t>
    </r>
  </si>
  <si>
    <r>
      <rPr>
        <sz val="10"/>
        <color rgb="FF000000"/>
        <rFont val="Arial"/>
        <family val="2"/>
      </rPr>
      <t>3.3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机械安全装置及分布图：</t>
    </r>
  </si>
  <si>
    <r>
      <rPr>
        <sz val="10"/>
        <color rgb="FF000000"/>
        <rFont val="Arial"/>
        <family val="2"/>
      </rPr>
      <t>3.4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设备铭牌图：</t>
    </r>
  </si>
  <si>
    <r>
      <rPr>
        <sz val="10"/>
        <color rgb="FF000000"/>
        <rFont val="Arial"/>
        <family val="2"/>
      </rPr>
      <t>3.5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电气原理图：</t>
    </r>
  </si>
  <si>
    <r>
      <rPr>
        <sz val="10"/>
        <color rgb="FF000000"/>
        <rFont val="Arial"/>
        <family val="2"/>
      </rPr>
      <t>3.6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气动原理图：</t>
    </r>
  </si>
  <si>
    <r>
      <rPr>
        <sz val="10"/>
        <color rgb="FF000000"/>
        <rFont val="Arial"/>
        <family val="2"/>
      </rPr>
      <t>3.7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液压原理图：</t>
    </r>
  </si>
  <si>
    <r>
      <rPr>
        <sz val="10"/>
        <color rgb="FF000000"/>
        <rFont val="Arial"/>
        <family val="2"/>
      </rPr>
      <t>3.8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机身标识及其分布图；</t>
    </r>
  </si>
  <si>
    <r>
      <rPr>
        <sz val="10"/>
        <color rgb="FF000000"/>
        <rFont val="Arial"/>
        <family val="2"/>
      </rPr>
      <t>3.9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操作位置示意图；</t>
    </r>
  </si>
  <si>
    <r>
      <rPr>
        <sz val="10"/>
        <color rgb="FF000000"/>
        <rFont val="Arial"/>
        <family val="2"/>
      </rPr>
      <t>3.10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宋体"/>
        <family val="3"/>
        <charset val="134"/>
      </rPr>
      <t>搬运吊装示意图；</t>
    </r>
  </si>
  <si>
    <r>
      <rPr>
        <sz val="10"/>
        <color rgb="FF000000"/>
        <rFont val="Arial"/>
        <family val="2"/>
      </rPr>
      <t>3.11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宋体"/>
        <family val="3"/>
        <charset val="134"/>
      </rPr>
      <t>防爆分区图；</t>
    </r>
  </si>
  <si>
    <r>
      <rPr>
        <sz val="10"/>
        <color rgb="FF000000"/>
        <rFont val="Arial"/>
        <family val="2"/>
      </rPr>
      <t>4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零部件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</t>
    </r>
  </si>
  <si>
    <r>
      <rPr>
        <sz val="10"/>
        <color rgb="FF000000"/>
        <rFont val="Arial"/>
        <family val="2"/>
      </rPr>
      <t>4.1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机械部件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</si>
  <si>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</si>
  <si>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气动组件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</si>
  <si>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4.4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液压组件</t>
    </r>
    <r>
      <rPr>
        <sz val="10"/>
        <color rgb="FF000000"/>
        <rFont val="Arial"/>
        <family val="2"/>
      </rPr>
      <t>CE</t>
    </r>
    <r>
      <rPr>
        <sz val="10"/>
        <color rgb="FF000000"/>
        <rFont val="宋体"/>
        <family val="3"/>
        <charset val="134"/>
      </rPr>
      <t>证书或测试报告（并附上组件表）；</t>
    </r>
  </si>
  <si>
    <r>
      <rPr>
        <sz val="10"/>
        <color rgb="FF000000"/>
        <rFont val="Arial"/>
        <family val="2"/>
      </rPr>
      <t>4.5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防爆组件</t>
    </r>
    <r>
      <rPr>
        <sz val="10"/>
        <color rgb="FF000000"/>
        <rFont val="Arial"/>
        <family val="2"/>
      </rPr>
      <t>CE-ATEX</t>
    </r>
    <r>
      <rPr>
        <sz val="10"/>
        <color rgb="FF000000"/>
        <rFont val="宋体"/>
        <family val="3"/>
        <charset val="134"/>
      </rPr>
      <t>证书（并附上组件表）；</t>
    </r>
  </si>
  <si>
    <r>
      <rPr>
        <sz val="10"/>
        <color rgb="FF000000"/>
        <rFont val="Arial"/>
        <family val="2"/>
      </rPr>
      <t>5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安全设计计算</t>
    </r>
  </si>
  <si>
    <r>
      <rPr>
        <sz val="10"/>
        <color rgb="FF000000"/>
        <rFont val="Arial"/>
        <family val="2"/>
      </rPr>
      <t>5.1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电气安全回路可靠性能等级计算</t>
    </r>
  </si>
  <si>
    <r>
      <rPr>
        <sz val="10"/>
        <color rgb="FF000000"/>
        <rFont val="Arial"/>
        <family val="2"/>
      </rPr>
      <t>5.2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机械安全设计计算书；</t>
    </r>
  </si>
  <si>
    <r>
      <rPr>
        <sz val="10"/>
        <color rgb="FF000000"/>
        <rFont val="Arial"/>
        <family val="2"/>
      </rPr>
      <t>5.3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宋体"/>
        <family val="3"/>
        <charset val="134"/>
      </rPr>
      <t>防爆结构设计校核书（如有必要）；</t>
    </r>
  </si>
  <si>
    <r>
      <rPr>
        <sz val="10"/>
        <color rgb="FF000000"/>
        <rFont val="Arial"/>
        <family val="2"/>
      </rPr>
      <t>6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材质证明、测试报告：第</t>
    </r>
    <r>
      <rPr>
        <sz val="10"/>
        <color rgb="FF000000"/>
        <rFont val="Arial"/>
        <family val="2"/>
      </rPr>
      <t>5.2</t>
    </r>
    <r>
      <rPr>
        <sz val="10"/>
        <color rgb="FF000000"/>
        <rFont val="宋体"/>
        <family val="3"/>
        <charset val="134"/>
      </rPr>
      <t>条的计算中涉及到的数据文件；</t>
    </r>
  </si>
  <si>
    <r>
      <rPr>
        <sz val="10"/>
        <color rgb="FF000000"/>
        <rFont val="Arial"/>
        <family val="2"/>
      </rPr>
      <t>7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安全相关部件数据表：第</t>
    </r>
    <r>
      <rPr>
        <sz val="10"/>
        <color rgb="FF000000"/>
        <rFont val="Arial"/>
        <family val="2"/>
      </rPr>
      <t>5.1</t>
    </r>
    <r>
      <rPr>
        <sz val="10"/>
        <color rgb="FF000000"/>
        <rFont val="宋体"/>
        <family val="3"/>
        <charset val="134"/>
      </rPr>
      <t>条的计算中涉及到的数据文件；</t>
    </r>
  </si>
  <si>
    <r>
      <rPr>
        <sz val="10"/>
        <color rgb="FF000000"/>
        <rFont val="Arial"/>
        <family val="2"/>
      </rPr>
      <t>8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设备说明书；</t>
    </r>
  </si>
  <si>
    <r>
      <rPr>
        <sz val="10"/>
        <color rgb="FF000000"/>
        <rFont val="Arial"/>
        <family val="2"/>
      </rPr>
      <t>9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风险分析报告：我司提供模板并指导填写；</t>
    </r>
  </si>
  <si>
    <r>
      <rPr>
        <sz val="10"/>
        <color rgb="FF000000"/>
        <rFont val="Arial"/>
        <family val="2"/>
      </rPr>
      <t>10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宋体"/>
        <family val="3"/>
        <charset val="134"/>
      </rPr>
      <t>质量管理体系证书：</t>
    </r>
    <r>
      <rPr>
        <sz val="10"/>
        <color rgb="FF000000"/>
        <rFont val="Arial"/>
        <family val="2"/>
      </rPr>
      <t>ISO 9001</t>
    </r>
  </si>
  <si>
    <r>
      <rPr>
        <sz val="10"/>
        <color rgb="FF000000"/>
        <rFont val="Arial"/>
        <family val="2"/>
      </rPr>
      <t>11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宋体"/>
        <family val="3"/>
        <charset val="134"/>
      </rPr>
      <t>一致性声明：我司提供模板并指导填写；</t>
    </r>
  </si>
  <si>
    <t>备注：</t>
  </si>
  <si>
    <r>
      <rPr>
        <sz val="10"/>
        <color rgb="FF000000"/>
        <rFont val="Arial"/>
        <family val="2"/>
      </rPr>
      <t>-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以上所有资料均应提供英文（可以为中英文对照）</t>
    </r>
  </si>
  <si>
    <r>
      <rPr>
        <sz val="10"/>
        <color rgb="FF000000"/>
        <rFont val="Arial"/>
        <family val="2"/>
      </rPr>
      <t>-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宋体"/>
        <family val="3"/>
        <charset val="134"/>
      </rPr>
      <t>没有英文版本的测试报告或证书原件，可附上</t>
    </r>
    <r>
      <rPr>
        <sz val="10"/>
        <color rgb="FF000000"/>
        <rFont val="Arial"/>
        <family val="2"/>
      </rPr>
      <t>Word</t>
    </r>
    <r>
      <rPr>
        <sz val="10"/>
        <color rgb="FF000000"/>
        <rFont val="宋体"/>
        <family val="3"/>
        <charset val="134"/>
      </rPr>
      <t>版本的英文翻译件（翻译件不需要签字盖章）；</t>
    </r>
  </si>
  <si>
    <t>设备出口时间计划表  Equipment Export Time Schedule</t>
  </si>
  <si>
    <t>时间 Time line</t>
  </si>
  <si>
    <t>month</t>
  </si>
  <si>
    <t>工作事项 work item</t>
  </si>
  <si>
    <t>week</t>
  </si>
  <si>
    <t>收到详细设计
Received detailed design</t>
  </si>
  <si>
    <t>配件采购
Accessories procurement</t>
  </si>
  <si>
    <t>设备加工组装
Equipment processing and assembly</t>
  </si>
  <si>
    <t>工厂验收测试
FAT</t>
  </si>
  <si>
    <t>设备CE认证
Equipment CE certification</t>
  </si>
  <si>
    <t>设备出口手续办理
Handling of equipment export procedures</t>
  </si>
  <si>
    <t>运输鉴定及包装
Transportation identification and packaging</t>
  </si>
  <si>
    <t>海运订舱
Sea freight booking</t>
  </si>
  <si>
    <t>出口运输（欧洲）
Export transportation(EUPORE)</t>
  </si>
  <si>
    <t>立式储罐，体积：220L，与物料接触材质：316L，工作压力：常压
Vertical storage tank, volume: 220L, material in contact with material: 316L, working pressure: atmospheric pressure</t>
  </si>
  <si>
    <t>取样器</t>
    <phoneticPr fontId="17" type="noConversion"/>
  </si>
  <si>
    <t>台</t>
    <phoneticPr fontId="17" type="noConversion"/>
  </si>
  <si>
    <t>取样</t>
    <phoneticPr fontId="17" type="noConversion"/>
  </si>
  <si>
    <t>各类溶剂（DMF/乙腈/四氢呋喃/乙酸乙酯）和氢气等
气液比1：1
Various solvents (DMF/acetonitrile/tetrahydrofuran/ethyl acetate) and hydrogen, etc.
Gas-liquid ratio: 1:1</t>
    <phoneticPr fontId="17" type="noConversion"/>
  </si>
  <si>
    <t>DN65</t>
    <phoneticPr fontId="17" type="noConversion"/>
  </si>
  <si>
    <r>
      <t>计量泵</t>
    </r>
    <r>
      <rPr>
        <strike/>
        <sz val="11"/>
        <color rgb="FF7030A0"/>
        <rFont val="微软雅黑"/>
        <family val="2"/>
        <charset val="134"/>
      </rPr>
      <t>磁力泵</t>
    </r>
    <r>
      <rPr>
        <strike/>
        <sz val="10"/>
        <color rgb="FF7030A0"/>
        <rFont val="微软雅黑"/>
        <family val="2"/>
        <charset val="134"/>
      </rPr>
      <t xml:space="preserve">
Metering Pump</t>
    </r>
  </si>
  <si>
    <t>液压隔膜泵，量程：0~1m3/h，与物料接触材质：316L，排出压力：0.6MPa，扬程：20m
Hydraulic Diaphragm Pump, range: 0~1m3/h, material in contact with material: 316L, discharge pressure: 0.6MPa, head: 20m</t>
  </si>
  <si>
    <t>原数量</t>
    <phoneticPr fontId="17" type="noConversion"/>
  </si>
  <si>
    <t>测量范围：0~10L/min，测量精度： ±0.5%，与物料接触材质：316L，介质：N2气体
Measuring range: 1~10L/min, Measuring accuracy: 0.5%, Material in contact with materials: 316L.Medium: N2 gas</t>
  </si>
  <si>
    <t>个</t>
    <phoneticPr fontId="17" type="noConversion"/>
  </si>
  <si>
    <t>调音叉电平开关
Tuning-Fork Level Switch</t>
    <phoneticPr fontId="17" type="noConversion"/>
  </si>
  <si>
    <t>工作压力：0.4MPa，工作温度： 10~40℃，防爆
Working pressure: 0.4MPa, working temperature: 10~40 ℃,explosion-proof</t>
  </si>
  <si>
    <t>供应商报价</t>
    <phoneticPr fontId="17" type="noConversion"/>
  </si>
  <si>
    <r>
      <t>立式反应柱，体积</t>
    </r>
    <r>
      <rPr>
        <strike/>
        <sz val="10"/>
        <color rgb="FF0070C0"/>
        <rFont val="微软雅黑"/>
        <family val="2"/>
        <charset val="134"/>
      </rPr>
      <t>5.1</t>
    </r>
    <r>
      <rPr>
        <sz val="10"/>
        <color rgb="FF7030A0"/>
        <rFont val="微软雅黑"/>
        <family val="2"/>
        <charset val="134"/>
      </rPr>
      <t>3.5</t>
    </r>
    <r>
      <rPr>
        <sz val="10"/>
        <color rgb="FF000000"/>
        <rFont val="微软雅黑"/>
        <family val="2"/>
        <charset val="134"/>
      </rPr>
      <t>L，换热面积：</t>
    </r>
    <r>
      <rPr>
        <strike/>
        <sz val="10"/>
        <color rgb="FF0070C0"/>
        <rFont val="微软雅黑"/>
        <family val="2"/>
        <charset val="134"/>
      </rPr>
      <t>0.27</t>
    </r>
    <r>
      <rPr>
        <sz val="10"/>
        <color rgb="FF7030A0"/>
        <rFont val="微软雅黑"/>
        <family val="2"/>
        <charset val="134"/>
      </rPr>
      <t>0.23</t>
    </r>
    <r>
      <rPr>
        <sz val="10"/>
        <color rgb="FF000000"/>
        <rFont val="微软雅黑"/>
        <family val="2"/>
        <charset val="134"/>
      </rPr>
      <t xml:space="preserve">㎡，与物料接触材质：316L
Vertical reaction column, volume </t>
    </r>
    <r>
      <rPr>
        <sz val="10"/>
        <color rgb="FF7030A0"/>
        <rFont val="微软雅黑"/>
        <family val="2"/>
        <charset val="134"/>
      </rPr>
      <t>3.5</t>
    </r>
    <r>
      <rPr>
        <sz val="10"/>
        <color rgb="FF0070C0"/>
        <rFont val="微软雅黑"/>
        <family val="2"/>
        <charset val="134"/>
      </rPr>
      <t>.</t>
    </r>
    <r>
      <rPr>
        <sz val="10"/>
        <color rgb="FF000000"/>
        <rFont val="微软雅黑"/>
        <family val="2"/>
        <charset val="134"/>
      </rPr>
      <t xml:space="preserve">L, heat exchange area: </t>
    </r>
    <r>
      <rPr>
        <sz val="10"/>
        <color rgb="FF7030A0"/>
        <rFont val="微软雅黑"/>
        <family val="2"/>
        <charset val="134"/>
      </rPr>
      <t xml:space="preserve">0.23 </t>
    </r>
    <r>
      <rPr>
        <sz val="10"/>
        <color rgb="FF000000"/>
        <rFont val="微软雅黑"/>
        <family val="2"/>
        <charset val="134"/>
      </rPr>
      <t>㎡, material in contact with material: 316L</t>
    </r>
    <phoneticPr fontId="17" type="noConversion"/>
  </si>
  <si>
    <r>
      <t>设备手阀、单向阀、安全阀、管路及保温、模块化框架及</t>
    </r>
    <r>
      <rPr>
        <strike/>
        <sz val="10"/>
        <color rgb="FF00B0F0"/>
        <rFont val="微软雅黑"/>
        <family val="2"/>
        <charset val="134"/>
      </rPr>
      <t>外部连接管线、步梯</t>
    </r>
    <r>
      <rPr>
        <sz val="10"/>
        <color rgb="FF00B0F0"/>
        <rFont val="微软雅黑"/>
        <family val="2"/>
        <charset val="134"/>
      </rPr>
      <t>，</t>
    </r>
    <r>
      <rPr>
        <sz val="10"/>
        <color rgb="FF7030A0"/>
        <rFont val="微软雅黑"/>
        <family val="2"/>
        <charset val="134"/>
      </rPr>
      <t>外协氦检漏</t>
    </r>
    <r>
      <rPr>
        <sz val="10"/>
        <color rgb="FF000000"/>
        <rFont val="微软雅黑"/>
        <family val="2"/>
        <charset val="134"/>
      </rPr>
      <t xml:space="preserve">
Equipment hand valves, one-way valves, safety valves, pipelines and insulation, modular frames, and electrical pipelines, external connection pipelines, steps，etc</t>
    </r>
    <phoneticPr fontId="17" type="noConversion"/>
  </si>
  <si>
    <r>
      <t>测量范围：0~150℃，测量精度±0.2%FS，</t>
    </r>
    <r>
      <rPr>
        <sz val="10"/>
        <color rgb="FF000000"/>
        <rFont val="微软雅黑"/>
        <family val="2"/>
        <charset val="134"/>
      </rPr>
      <t>6mm探头
Measuring range: 0~150℃,  Measuring accuracy ±0.2%FS, 6mm probe.</t>
    </r>
    <phoneticPr fontId="17" type="noConversion"/>
  </si>
  <si>
    <t>测量范围：0~8.0MPa，测量精度±0.5%，与物料接触材质：316L
Measuring range: 0~8.0MPa, Measuring accuracy: 0.5%, Material in contact with materials: 316L.</t>
    <phoneticPr fontId="17" type="noConversion"/>
  </si>
  <si>
    <t>压力容器用压力检测
pressure measure</t>
    <phoneticPr fontId="17" type="noConversion"/>
  </si>
  <si>
    <t>自力式压力调节器  
Self-Actuated Pressure Regulator</t>
    <phoneticPr fontId="17" type="noConversion"/>
  </si>
  <si>
    <t xml:space="preserve">电子压力控制器 
Electronic Pressure Controller </t>
    <phoneticPr fontId="17" type="noConversion"/>
  </si>
  <si>
    <t>差压变送器
Differential Pressure Transmitter</t>
    <phoneticPr fontId="17" type="noConversion"/>
  </si>
  <si>
    <t>导引波雷达液位变送器
Guided wave radar  Level Transmitter</t>
    <phoneticPr fontId="17" type="noConversion"/>
  </si>
  <si>
    <t>个</t>
    <phoneticPr fontId="17" type="noConversion"/>
  </si>
  <si>
    <t>电磁阀
Solenoid Valve</t>
    <phoneticPr fontId="17" type="noConversion"/>
  </si>
  <si>
    <t>压力指示变送器
Pressure Indicating Transmitter</t>
    <phoneticPr fontId="17" type="noConversion"/>
  </si>
  <si>
    <t>测量范围：0~0.6MPa，测量精度±0.5%，与物料接触材质：316L
Measuring range: 0~0.6MPa, Measuring accuracy: 0.5%, Material in contact with materials: 316L.</t>
    <phoneticPr fontId="17" type="noConversion"/>
  </si>
  <si>
    <t>测量范围：0~7.5MPa，测量精度±0.5%，与物料接触材质：316L
Measuring range: 0~7.5MPa, Measuring accuracy: 0.5%, Material in contact with materials: 316L.</t>
    <phoneticPr fontId="17" type="noConversion"/>
  </si>
  <si>
    <t>测量范围：0~7.5MPa，与物料接触材质：316L
Measuring range: 0~7.5MPa, Material in contact with materials: 316L.</t>
    <phoneticPr fontId="17" type="noConversion"/>
  </si>
  <si>
    <t>液位测量
level measurement</t>
    <phoneticPr fontId="17" type="noConversion"/>
  </si>
  <si>
    <t>液位开关
Liquid level switch</t>
    <phoneticPr fontId="17" type="noConversion"/>
  </si>
  <si>
    <t>开关控制
switch control</t>
    <phoneticPr fontId="17" type="noConversion"/>
  </si>
  <si>
    <t>压力调节
Stress management</t>
    <phoneticPr fontId="17" type="noConversion"/>
  </si>
  <si>
    <t>压力检测
pressure measure</t>
    <phoneticPr fontId="17" type="noConversion"/>
  </si>
  <si>
    <r>
      <t>进料，流速</t>
    </r>
    <r>
      <rPr>
        <strike/>
        <sz val="10"/>
        <color rgb="FF000000"/>
        <rFont val="微软雅黑"/>
        <family val="2"/>
        <charset val="134"/>
      </rPr>
      <t>40</t>
    </r>
    <r>
      <rPr>
        <sz val="10"/>
        <color rgb="FF7030A0"/>
        <rFont val="微软雅黑"/>
        <family val="2"/>
        <charset val="134"/>
      </rPr>
      <t>20</t>
    </r>
    <r>
      <rPr>
        <sz val="10"/>
        <color rgb="FF000000"/>
        <rFont val="微软雅黑"/>
        <family val="2"/>
        <charset val="134"/>
      </rPr>
      <t>L/h
feeding pump,40L/h.</t>
    </r>
    <phoneticPr fontId="17" type="noConversion"/>
  </si>
  <si>
    <r>
      <t>液压隔膜泵，量程：</t>
    </r>
    <r>
      <rPr>
        <strike/>
        <sz val="10"/>
        <color rgb="FF000000"/>
        <rFont val="微软雅黑"/>
        <family val="2"/>
        <charset val="134"/>
      </rPr>
      <t>40</t>
    </r>
    <r>
      <rPr>
        <sz val="10"/>
        <color rgb="FF7030A0"/>
        <rFont val="微软雅黑"/>
        <family val="2"/>
        <charset val="134"/>
      </rPr>
      <t>20</t>
    </r>
    <r>
      <rPr>
        <sz val="10"/>
        <color rgb="FF000000"/>
        <rFont val="微软雅黑"/>
        <family val="2"/>
        <charset val="134"/>
      </rPr>
      <t>L/h，与物料接触材质：316L，</t>
    </r>
    <r>
      <rPr>
        <strike/>
        <sz val="10"/>
        <color rgb="FF000000"/>
        <rFont val="微软雅黑"/>
        <family val="2"/>
        <charset val="134"/>
      </rPr>
      <t>单</t>
    </r>
    <r>
      <rPr>
        <sz val="10"/>
        <color rgb="FF7030A0"/>
        <rFont val="微软雅黑"/>
        <family val="2"/>
        <charset val="134"/>
      </rPr>
      <t>三</t>
    </r>
    <r>
      <rPr>
        <sz val="10"/>
        <color rgb="FF000000"/>
        <rFont val="微软雅黑"/>
        <family val="2"/>
        <charset val="134"/>
      </rPr>
      <t>泵头，排出压力：</t>
    </r>
    <r>
      <rPr>
        <strike/>
        <sz val="10"/>
        <color rgb="FF000000"/>
        <rFont val="微软雅黑"/>
        <family val="2"/>
        <charset val="134"/>
      </rPr>
      <t>8.0</t>
    </r>
    <r>
      <rPr>
        <sz val="10"/>
        <color rgb="FF7030A0"/>
        <rFont val="微软雅黑"/>
        <family val="2"/>
        <charset val="134"/>
      </rPr>
      <t>7.5</t>
    </r>
    <r>
      <rPr>
        <sz val="10"/>
        <color rgb="FF000000"/>
        <rFont val="微软雅黑"/>
        <family val="2"/>
        <charset val="134"/>
      </rPr>
      <t>MPa,</t>
    </r>
    <r>
      <rPr>
        <sz val="10"/>
        <color rgb="FF7030A0"/>
        <rFont val="微软雅黑"/>
        <family val="2"/>
        <charset val="134"/>
      </rPr>
      <t>GMP</t>
    </r>
    <r>
      <rPr>
        <sz val="10"/>
        <color rgb="FF000000"/>
        <rFont val="微软雅黑"/>
        <family val="2"/>
        <charset val="134"/>
      </rPr>
      <t xml:space="preserve">
Hydraulic Diaphragm Pump, range: 20L/h, Material in contact with materials: 316L, Three pump heads, Discharge pressure：7.5MPa.</t>
    </r>
    <r>
      <rPr>
        <sz val="10"/>
        <color rgb="FF7030A0"/>
        <rFont val="微软雅黑"/>
        <family val="2"/>
        <charset val="134"/>
      </rPr>
      <t>GMP</t>
    </r>
    <phoneticPr fontId="17" type="noConversion"/>
  </si>
  <si>
    <t>工作压力：0-8.0MPa，工作温度： -20~130 ℃，防爆
Working pressure: 0-8.0MPa, working temperature: -80~-70 ℃, explosion-proof</t>
    <phoneticPr fontId="17" type="noConversion"/>
  </si>
  <si>
    <t>工作压力：1-6MPa，工作温度： 0~100 ℃，防爆，与物料接触材质：316L
Working pressure: 1-6MPa, working temperature: 0~100 ℃, explosion-proof, Material in contact with materials: 316L.</t>
    <phoneticPr fontId="17" type="noConversion"/>
  </si>
  <si>
    <t>工作压力：0.3-6MPa，工作温度：-25~270 ℃，防爆，与物料接触材质：316L
Working pressure: 0.3-6MPa, working temperature: -25~270 ℃, explosion-proof, Material in contact with materials: 316L.</t>
    <phoneticPr fontId="17" type="noConversion"/>
  </si>
  <si>
    <t>CFCT预估，请进出口部门协助核算</t>
    <phoneticPr fontId="17" type="noConversion"/>
  </si>
  <si>
    <t>工作压力：1-6MPa，工作温度：-25~270 ℃，防爆，与物料接触材质：316L
Working pressure: 1-6MPa, working temperature: -25~270 ℃, explosion-proof, Material in contact with materials: 316L.</t>
    <phoneticPr fontId="17" type="noConversion"/>
  </si>
  <si>
    <t>新增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</si>
</sst>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\¥#,##0;\¥\-#,##0"/>
    <numFmt numFmtId="177" formatCode="[$€-2]\ #,##0.00;[$€-2]\ \-#,##0.00"/>
    <numFmt numFmtId="178" formatCode="[$£-809]#,##0;\-[$£-809]#,##0"/>
    <numFmt numFmtId="179" formatCode="General&quot; 万RMB&quot;"/>
    <numFmt numFmtId="180" formatCode="General&quot; M$&quot;"/>
    <numFmt numFmtId="181" formatCode="&quot;1USD=&quot;###0.00&quot;RMB&quot;"/>
    <numFmt numFmtId="182" formatCode="General&quot; M£&quot;"/>
    <numFmt numFmtId="183" formatCode="&quot;1£=&quot;###0.00&quot;RMB&quot;"/>
  </numFmts>
  <fonts count="27" x14ac:knownFonts="1">
    <font>
      <sz val="12"/>
      <color theme="1"/>
      <name val="等线"/>
      <charset val="134"/>
      <scheme val="minor"/>
    </font>
    <font>
      <sz val="10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7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B0F0"/>
      <name val="微软雅黑"/>
      <family val="2"/>
      <charset val="134"/>
    </font>
    <font>
      <sz val="9"/>
      <name val="等线"/>
      <family val="3"/>
      <charset val="134"/>
      <scheme val="minor"/>
    </font>
    <font>
      <strike/>
      <sz val="10"/>
      <color rgb="FF7030A0"/>
      <name val="微软雅黑"/>
      <family val="2"/>
      <charset val="134"/>
    </font>
    <font>
      <sz val="10"/>
      <color rgb="FF7030A0"/>
      <name val="微软雅黑"/>
      <family val="2"/>
      <charset val="134"/>
    </font>
    <font>
      <strike/>
      <sz val="11"/>
      <color rgb="FF7030A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trike/>
      <sz val="10"/>
      <color rgb="FF0070C0"/>
      <name val="微软雅黑"/>
      <family val="2"/>
      <charset val="134"/>
    </font>
    <font>
      <strike/>
      <sz val="10"/>
      <color rgb="FF00B0F0"/>
      <name val="微软雅黑"/>
      <family val="2"/>
      <charset val="134"/>
    </font>
    <font>
      <strike/>
      <sz val="10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</xf>
    <xf numFmtId="0" fontId="1" fillId="8" borderId="1" xfId="0" applyFont="1" applyFill="1" applyBorder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9" borderId="2" xfId="0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5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3" fillId="10" borderId="9" xfId="0" applyFont="1" applyFill="1" applyBorder="1" applyAlignment="1" applyProtection="1">
      <alignment horizontal="center" vertical="center" wrapText="1"/>
    </xf>
    <xf numFmtId="0" fontId="3" fillId="10" borderId="10" xfId="0" applyFont="1" applyFill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11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right" vertical="center" wrapText="1"/>
    </xf>
    <xf numFmtId="0" fontId="1" fillId="7" borderId="1" xfId="0" applyFont="1" applyFill="1" applyBorder="1" applyAlignment="1" applyProtection="1">
      <alignment horizontal="center" vertical="center" wrapText="1"/>
    </xf>
    <xf numFmtId="176" fontId="12" fillId="12" borderId="12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7" borderId="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7" fontId="1" fillId="0" borderId="0" xfId="0" applyNumberFormat="1" applyFont="1" applyAlignment="1">
      <alignment horizontal="center" vertical="center" wrapText="1"/>
    </xf>
    <xf numFmtId="0" fontId="3" fillId="10" borderId="15" xfId="0" applyFont="1" applyFill="1" applyBorder="1" applyAlignment="1" applyProtection="1">
      <alignment horizontal="center" vertical="center" wrapText="1"/>
    </xf>
    <xf numFmtId="176" fontId="12" fillId="0" borderId="8" xfId="0" applyNumberFormat="1" applyFont="1" applyBorder="1" applyAlignment="1" applyProtection="1">
      <alignment horizontal="center" vertical="center" wrapText="1"/>
    </xf>
    <xf numFmtId="176" fontId="12" fillId="11" borderId="8" xfId="0" applyNumberFormat="1" applyFont="1" applyFill="1" applyBorder="1" applyAlignment="1" applyProtection="1">
      <alignment horizontal="right" vertical="center" wrapText="1"/>
    </xf>
    <xf numFmtId="176" fontId="1" fillId="0" borderId="8" xfId="0" applyNumberFormat="1" applyFont="1" applyBorder="1" applyAlignment="1" applyProtection="1">
      <alignment horizontal="right" vertical="center" wrapText="1"/>
    </xf>
    <xf numFmtId="176" fontId="1" fillId="0" borderId="14" xfId="0" applyNumberFormat="1" applyFont="1" applyBorder="1" applyAlignment="1" applyProtection="1">
      <alignment horizontal="left" vertical="center" wrapText="1"/>
    </xf>
    <xf numFmtId="176" fontId="12" fillId="0" borderId="12" xfId="0" applyNumberFormat="1" applyFont="1" applyBorder="1" applyAlignment="1" applyProtection="1">
      <alignment horizontal="center" vertical="center" wrapText="1"/>
    </xf>
    <xf numFmtId="176" fontId="12" fillId="11" borderId="12" xfId="0" applyNumberFormat="1" applyFont="1" applyFill="1" applyBorder="1" applyAlignment="1" applyProtection="1">
      <alignment horizontal="right" vertical="center" wrapText="1"/>
    </xf>
    <xf numFmtId="176" fontId="1" fillId="0" borderId="12" xfId="0" applyNumberFormat="1" applyFont="1" applyBorder="1" applyAlignment="1" applyProtection="1">
      <alignment horizontal="right" vertical="center" wrapText="1"/>
    </xf>
    <xf numFmtId="176" fontId="1" fillId="0" borderId="16" xfId="0" applyNumberFormat="1" applyFont="1" applyBorder="1" applyAlignment="1" applyProtection="1">
      <alignment horizontal="left" vertical="center" wrapText="1"/>
    </xf>
    <xf numFmtId="176" fontId="12" fillId="0" borderId="1" xfId="0" applyNumberFormat="1" applyFont="1" applyBorder="1" applyAlignment="1" applyProtection="1">
      <alignment horizontal="center" vertical="center" wrapText="1"/>
    </xf>
    <xf numFmtId="176" fontId="1" fillId="0" borderId="1" xfId="0" applyNumberFormat="1" applyFont="1" applyBorder="1" applyAlignment="1" applyProtection="1">
      <alignment horizontal="right" vertical="center" wrapText="1"/>
    </xf>
    <xf numFmtId="176" fontId="12" fillId="0" borderId="16" xfId="0" applyNumberFormat="1" applyFont="1" applyBorder="1" applyAlignment="1" applyProtection="1">
      <alignment horizontal="center" vertical="center" wrapText="1"/>
    </xf>
    <xf numFmtId="176" fontId="9" fillId="0" borderId="16" xfId="0" applyNumberFormat="1" applyFont="1" applyBorder="1" applyAlignment="1" applyProtection="1">
      <alignment horizontal="left" vertical="center" wrapText="1"/>
    </xf>
    <xf numFmtId="176" fontId="12" fillId="0" borderId="12" xfId="0" applyNumberFormat="1" applyFont="1" applyBorder="1" applyAlignment="1" applyProtection="1">
      <alignment horizontal="right" vertical="center" wrapText="1"/>
    </xf>
    <xf numFmtId="176" fontId="1" fillId="4" borderId="1" xfId="0" applyNumberFormat="1" applyFont="1" applyFill="1" applyBorder="1" applyAlignment="1" applyProtection="1">
      <alignment horizontal="right" vertical="center" wrapText="1"/>
    </xf>
    <xf numFmtId="176" fontId="1" fillId="2" borderId="16" xfId="0" applyNumberFormat="1" applyFont="1" applyFill="1" applyBorder="1" applyAlignment="1" applyProtection="1">
      <alignment horizontal="left" vertical="center" wrapText="1"/>
    </xf>
    <xf numFmtId="176" fontId="10" fillId="0" borderId="0" xfId="0" applyNumberFormat="1" applyFont="1" applyAlignment="1">
      <alignment horizontal="center" vertical="center" wrapText="1"/>
    </xf>
    <xf numFmtId="176" fontId="9" fillId="0" borderId="1" xfId="0" applyNumberFormat="1" applyFont="1" applyBorder="1" applyAlignment="1" applyProtection="1">
      <alignment horizontal="right" vertical="center" wrapText="1"/>
    </xf>
    <xf numFmtId="176" fontId="9" fillId="0" borderId="1" xfId="0" applyNumberFormat="1" applyFont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>
      <alignment horizontal="right" vertical="center" wrapText="1"/>
    </xf>
    <xf numFmtId="0" fontId="1" fillId="0" borderId="16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76" fontId="12" fillId="14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 applyProtection="1">
      <alignment horizontal="right" vertical="center" wrapText="1"/>
    </xf>
    <xf numFmtId="176" fontId="1" fillId="0" borderId="1" xfId="0" applyNumberFormat="1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76" fontId="1" fillId="5" borderId="10" xfId="0" applyNumberFormat="1" applyFont="1" applyFill="1" applyBorder="1" applyAlignment="1" applyProtection="1">
      <alignment horizontal="right" vertical="center" wrapText="1"/>
    </xf>
    <xf numFmtId="178" fontId="1" fillId="0" borderId="15" xfId="0" applyNumberFormat="1" applyFont="1" applyBorder="1" applyAlignment="1" applyProtection="1">
      <alignment horizontal="right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179" fontId="1" fillId="0" borderId="1" xfId="0" applyNumberFormat="1" applyFont="1" applyBorder="1" applyAlignment="1" applyProtection="1">
      <alignment horizontal="right" vertical="center" wrapText="1"/>
    </xf>
    <xf numFmtId="180" fontId="1" fillId="0" borderId="1" xfId="0" applyNumberFormat="1" applyFont="1" applyBorder="1" applyAlignment="1" applyProtection="1">
      <alignment horizontal="right" vertical="center" wrapText="1"/>
    </xf>
    <xf numFmtId="181" fontId="1" fillId="11" borderId="1" xfId="0" applyNumberFormat="1" applyFont="1" applyFill="1" applyBorder="1" applyAlignment="1" applyProtection="1">
      <alignment horizontal="right" vertical="center" wrapText="1"/>
    </xf>
    <xf numFmtId="182" fontId="1" fillId="0" borderId="1" xfId="0" applyNumberFormat="1" applyFont="1" applyBorder="1" applyAlignment="1" applyProtection="1">
      <alignment horizontal="right" vertical="center" wrapText="1"/>
    </xf>
    <xf numFmtId="183" fontId="1" fillId="11" borderId="1" xfId="0" applyNumberFormat="1" applyFont="1" applyFill="1" applyBorder="1" applyAlignment="1" applyProtection="1">
      <alignment horizontal="right" vertical="center" wrapText="1"/>
    </xf>
    <xf numFmtId="0" fontId="18" fillId="0" borderId="12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wrapText="1"/>
    </xf>
    <xf numFmtId="176" fontId="18" fillId="0" borderId="12" xfId="0" applyNumberFormat="1" applyFont="1" applyBorder="1" applyAlignment="1" applyProtection="1">
      <alignment horizontal="center" vertical="center" wrapText="1"/>
    </xf>
    <xf numFmtId="176" fontId="18" fillId="11" borderId="12" xfId="0" applyNumberFormat="1" applyFont="1" applyFill="1" applyBorder="1" applyAlignment="1" applyProtection="1">
      <alignment horizontal="right" vertical="center" wrapText="1"/>
    </xf>
    <xf numFmtId="176" fontId="18" fillId="0" borderId="12" xfId="0" applyNumberFormat="1" applyFont="1" applyBorder="1" applyAlignment="1" applyProtection="1">
      <alignment horizontal="right" vertical="center" wrapText="1"/>
    </xf>
    <xf numFmtId="0" fontId="19" fillId="0" borderId="12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wrapText="1"/>
    </xf>
    <xf numFmtId="176" fontId="19" fillId="11" borderId="12" xfId="0" applyNumberFormat="1" applyFont="1" applyFill="1" applyBorder="1" applyAlignment="1" applyProtection="1">
      <alignment horizontal="right" vertical="center" wrapText="1"/>
    </xf>
    <xf numFmtId="176" fontId="19" fillId="0" borderId="12" xfId="0" applyNumberFormat="1" applyFont="1" applyBorder="1" applyAlignment="1" applyProtection="1">
      <alignment horizontal="right" vertical="center" wrapText="1"/>
    </xf>
    <xf numFmtId="176" fontId="19" fillId="0" borderId="16" xfId="0" applyNumberFormat="1" applyFont="1" applyBorder="1" applyAlignment="1" applyProtection="1">
      <alignment horizontal="left" vertical="center" wrapText="1"/>
    </xf>
    <xf numFmtId="176" fontId="19" fillId="0" borderId="16" xfId="0" applyNumberFormat="1" applyFont="1" applyBorder="1" applyAlignment="1" applyProtection="1">
      <alignment horizontal="center" vertical="center" wrapText="1"/>
    </xf>
    <xf numFmtId="176" fontId="19" fillId="0" borderId="1" xfId="0" applyNumberFormat="1" applyFont="1" applyBorder="1" applyAlignment="1" applyProtection="1">
      <alignment horizontal="center" vertical="center" wrapText="1"/>
    </xf>
    <xf numFmtId="176" fontId="19" fillId="0" borderId="1" xfId="0" applyNumberFormat="1" applyFont="1" applyBorder="1" applyAlignment="1" applyProtection="1">
      <alignment horizontal="right" vertical="center" wrapText="1"/>
    </xf>
    <xf numFmtId="0" fontId="18" fillId="0" borderId="1" xfId="0" applyFont="1" applyBorder="1" applyAlignment="1" applyProtection="1">
      <alignment horizontal="center" vertical="center" wrapText="1"/>
    </xf>
    <xf numFmtId="176" fontId="18" fillId="0" borderId="1" xfId="0" applyNumberFormat="1" applyFont="1" applyBorder="1" applyAlignment="1" applyProtection="1">
      <alignment horizontal="center" vertical="center" wrapText="1"/>
    </xf>
    <xf numFmtId="176" fontId="18" fillId="0" borderId="1" xfId="0" applyNumberFormat="1" applyFont="1" applyBorder="1" applyAlignment="1" applyProtection="1">
      <alignment horizontal="right" vertical="center" wrapText="1"/>
    </xf>
    <xf numFmtId="176" fontId="18" fillId="0" borderId="16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15" borderId="1" xfId="0" applyFont="1" applyFill="1" applyBorder="1" applyAlignment="1" applyProtection="1">
      <alignment horizontal="center" vertical="center" wrapText="1"/>
    </xf>
    <xf numFmtId="0" fontId="23" fillId="0" borderId="0" xfId="0" applyFont="1">
      <alignment vertical="center"/>
    </xf>
    <xf numFmtId="0" fontId="19" fillId="0" borderId="1" xfId="0" applyFont="1" applyFill="1" applyBorder="1" applyAlignment="1" applyProtection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1" xfId="0" applyFont="1" applyBorder="1" applyAlignment="1" applyProtection="1">
      <alignment horizontal="left" vertic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 applyProtection="1">
      <alignment horizontal="center" vertical="center" wrapText="1"/>
    </xf>
    <xf numFmtId="176" fontId="18" fillId="0" borderId="12" xfId="0" applyNumberFormat="1" applyFont="1" applyFill="1" applyBorder="1" applyAlignment="1" applyProtection="1">
      <alignment horizontal="center" vertical="center" wrapText="1"/>
    </xf>
    <xf numFmtId="176" fontId="19" fillId="7" borderId="12" xfId="0" applyNumberFormat="1" applyFont="1" applyFill="1" applyBorder="1" applyAlignment="1" applyProtection="1">
      <alignment horizontal="center" vertical="center" wrapText="1"/>
    </xf>
    <xf numFmtId="0" fontId="2" fillId="13" borderId="10" xfId="0" applyFont="1" applyFill="1" applyBorder="1" applyAlignment="1" applyProtection="1">
      <alignment horizontal="righ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176" fontId="1" fillId="0" borderId="3" xfId="0" applyNumberFormat="1" applyFont="1" applyFill="1" applyBorder="1" applyAlignment="1" applyProtection="1">
      <alignment horizontal="right" vertical="center" wrapText="1"/>
    </xf>
    <xf numFmtId="176" fontId="1" fillId="0" borderId="12" xfId="0" applyNumberFormat="1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 applyProtection="1">
      <alignment horizontal="right" vertical="center" wrapText="1"/>
    </xf>
    <xf numFmtId="0" fontId="2" fillId="10" borderId="7" xfId="0" applyFont="1" applyFill="1" applyBorder="1" applyAlignment="1" applyProtection="1">
      <alignment horizontal="center" vertical="center" wrapText="1"/>
    </xf>
    <xf numFmtId="0" fontId="2" fillId="10" borderId="8" xfId="0" applyFont="1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3886023" cy="531680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400050"/>
          <a:ext cx="3885565" cy="5316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68"/>
  <sheetViews>
    <sheetView tabSelected="1" zoomScale="70" zoomScaleNormal="70" workbookViewId="0">
      <pane xSplit="7" ySplit="2" topLeftCell="H6" activePane="bottomRight" state="frozen"/>
      <selection pane="topRight"/>
      <selection pane="bottomLeft"/>
      <selection pane="bottomRight" activeCell="J14" sqref="J14"/>
    </sheetView>
  </sheetViews>
  <sheetFormatPr defaultColWidth="8.875" defaultRowHeight="39.950000000000003" customHeight="1" x14ac:dyDescent="0.25"/>
  <cols>
    <col min="1" max="1" width="5.625" style="32" customWidth="1"/>
    <col min="2" max="2" width="23" style="32" customWidth="1"/>
    <col min="3" max="3" width="25.875" style="33" customWidth="1"/>
    <col min="4" max="4" width="52.625" style="33" customWidth="1"/>
    <col min="5" max="5" width="8.375" style="33" customWidth="1"/>
    <col min="6" max="6" width="7.375" style="33" customWidth="1"/>
    <col min="7" max="7" width="28.125" style="33" customWidth="1"/>
    <col min="8" max="8" width="12.5" style="33" customWidth="1"/>
    <col min="9" max="9" width="12.625" style="30" customWidth="1"/>
    <col min="10" max="11" width="13.625" style="34" customWidth="1"/>
    <col min="12" max="12" width="20.625" style="35" customWidth="1"/>
    <col min="13" max="13" width="20.625" style="32" customWidth="1"/>
    <col min="14" max="14" width="9.125" style="32"/>
    <col min="15" max="25" width="8.875" style="32"/>
    <col min="26" max="35" width="8.875" style="36"/>
  </cols>
  <sheetData>
    <row r="1" spans="1:14" ht="39.950000000000003" customHeight="1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5" t="s">
        <v>1</v>
      </c>
      <c r="J1" s="135"/>
      <c r="K1" s="135"/>
      <c r="L1" s="136"/>
    </row>
    <row r="2" spans="1:14" ht="44.45" customHeight="1" x14ac:dyDescent="0.25">
      <c r="A2" s="37" t="s">
        <v>2</v>
      </c>
      <c r="B2" s="38" t="s">
        <v>3</v>
      </c>
      <c r="C2" s="38" t="s">
        <v>4</v>
      </c>
      <c r="D2" s="38" t="s">
        <v>5</v>
      </c>
      <c r="E2" s="38" t="s">
        <v>6</v>
      </c>
      <c r="F2" s="38" t="s">
        <v>7</v>
      </c>
      <c r="G2" s="38" t="s">
        <v>8</v>
      </c>
      <c r="H2" s="38" t="s">
        <v>9</v>
      </c>
      <c r="I2" s="38" t="s">
        <v>10</v>
      </c>
      <c r="J2" s="38" t="s">
        <v>11</v>
      </c>
      <c r="K2" s="38" t="s">
        <v>12</v>
      </c>
      <c r="L2" s="55" t="s">
        <v>9</v>
      </c>
      <c r="M2" s="32" t="s">
        <v>13</v>
      </c>
      <c r="N2" s="32" t="s">
        <v>180</v>
      </c>
    </row>
    <row r="3" spans="1:14" ht="51" customHeight="1" x14ac:dyDescent="0.25">
      <c r="A3" s="39">
        <f t="shared" ref="A3:A54" si="0">ROW()-2</f>
        <v>1</v>
      </c>
      <c r="B3" s="137" t="s">
        <v>14</v>
      </c>
      <c r="C3" s="40" t="s">
        <v>15</v>
      </c>
      <c r="D3" s="41" t="s">
        <v>16</v>
      </c>
      <c r="E3" s="40">
        <v>1</v>
      </c>
      <c r="F3" s="40" t="s">
        <v>17</v>
      </c>
      <c r="G3" s="40" t="s">
        <v>18</v>
      </c>
      <c r="H3" s="40" t="s">
        <v>19</v>
      </c>
      <c r="I3" s="56">
        <v>36000</v>
      </c>
      <c r="J3" s="57"/>
      <c r="K3" s="58">
        <f t="shared" ref="K3:K15" si="1">I3*E3+J3</f>
        <v>36000</v>
      </c>
      <c r="L3" s="59"/>
      <c r="M3" s="32" t="s">
        <v>20</v>
      </c>
    </row>
    <row r="4" spans="1:14" ht="54" customHeight="1" x14ac:dyDescent="0.25">
      <c r="A4" s="42">
        <f t="shared" si="0"/>
        <v>2</v>
      </c>
      <c r="B4" s="124"/>
      <c r="C4" s="91" t="s">
        <v>15</v>
      </c>
      <c r="D4" s="92" t="s">
        <v>172</v>
      </c>
      <c r="E4" s="91">
        <v>0</v>
      </c>
      <c r="F4" s="91" t="s">
        <v>17</v>
      </c>
      <c r="G4" s="91" t="s">
        <v>18</v>
      </c>
      <c r="H4" s="91" t="s">
        <v>19</v>
      </c>
      <c r="I4" s="93">
        <v>36000</v>
      </c>
      <c r="J4" s="94"/>
      <c r="K4" s="95">
        <f t="shared" si="1"/>
        <v>0</v>
      </c>
      <c r="L4" s="63"/>
      <c r="M4" s="32" t="s">
        <v>20</v>
      </c>
      <c r="N4" s="32">
        <v>1</v>
      </c>
    </row>
    <row r="5" spans="1:14" ht="49.5" x14ac:dyDescent="0.25">
      <c r="A5" s="42">
        <f t="shared" si="0"/>
        <v>3</v>
      </c>
      <c r="B5" s="124"/>
      <c r="C5" s="44" t="s">
        <v>21</v>
      </c>
      <c r="D5" s="41" t="s">
        <v>22</v>
      </c>
      <c r="E5" s="43">
        <v>1</v>
      </c>
      <c r="F5" s="43" t="s">
        <v>17</v>
      </c>
      <c r="G5" s="43" t="s">
        <v>23</v>
      </c>
      <c r="H5" s="43" t="s">
        <v>19</v>
      </c>
      <c r="I5" s="60">
        <v>35000</v>
      </c>
      <c r="J5" s="61"/>
      <c r="K5" s="62">
        <f t="shared" si="1"/>
        <v>35000</v>
      </c>
      <c r="L5" s="63"/>
      <c r="M5" s="32" t="s">
        <v>20</v>
      </c>
    </row>
    <row r="6" spans="1:14" ht="66" x14ac:dyDescent="0.25">
      <c r="A6" s="42">
        <f t="shared" si="0"/>
        <v>4</v>
      </c>
      <c r="B6" s="124"/>
      <c r="C6" s="44" t="s">
        <v>24</v>
      </c>
      <c r="D6" s="118" t="s">
        <v>186</v>
      </c>
      <c r="E6" s="4">
        <v>1</v>
      </c>
      <c r="F6" s="4" t="s">
        <v>17</v>
      </c>
      <c r="G6" s="4" t="s">
        <v>25</v>
      </c>
      <c r="H6" s="4" t="s">
        <v>19</v>
      </c>
      <c r="I6" s="102">
        <v>150000</v>
      </c>
      <c r="J6" s="98"/>
      <c r="K6" s="103">
        <f t="shared" si="1"/>
        <v>150000</v>
      </c>
      <c r="L6" s="101" t="s">
        <v>177</v>
      </c>
      <c r="M6" s="32" t="s">
        <v>20</v>
      </c>
    </row>
    <row r="7" spans="1:14" ht="59.25" customHeight="1" x14ac:dyDescent="0.25">
      <c r="A7" s="42">
        <f t="shared" si="0"/>
        <v>5</v>
      </c>
      <c r="B7" s="124"/>
      <c r="C7" s="4" t="s">
        <v>26</v>
      </c>
      <c r="D7" s="41" t="s">
        <v>27</v>
      </c>
      <c r="E7" s="4">
        <v>1</v>
      </c>
      <c r="F7" s="4" t="s">
        <v>17</v>
      </c>
      <c r="G7" s="4" t="s">
        <v>25</v>
      </c>
      <c r="H7" s="4" t="s">
        <v>19</v>
      </c>
      <c r="I7" s="64">
        <v>150000</v>
      </c>
      <c r="J7" s="61"/>
      <c r="K7" s="65">
        <f t="shared" si="1"/>
        <v>150000</v>
      </c>
      <c r="L7" s="66" t="s">
        <v>28</v>
      </c>
      <c r="M7" s="32" t="s">
        <v>20</v>
      </c>
    </row>
    <row r="8" spans="1:14" ht="59.25" customHeight="1" x14ac:dyDescent="0.25">
      <c r="A8" s="42">
        <f t="shared" si="0"/>
        <v>6</v>
      </c>
      <c r="B8" s="124"/>
      <c r="C8" s="4" t="s">
        <v>29</v>
      </c>
      <c r="D8" s="41" t="s">
        <v>30</v>
      </c>
      <c r="E8" s="4">
        <v>1</v>
      </c>
      <c r="F8" s="4" t="s">
        <v>17</v>
      </c>
      <c r="G8" s="4" t="s">
        <v>25</v>
      </c>
      <c r="H8" s="4" t="s">
        <v>19</v>
      </c>
      <c r="I8" s="64">
        <v>150000</v>
      </c>
      <c r="J8" s="61"/>
      <c r="K8" s="65">
        <f t="shared" si="1"/>
        <v>150000</v>
      </c>
      <c r="L8" s="66" t="s">
        <v>28</v>
      </c>
      <c r="M8" s="32" t="s">
        <v>20</v>
      </c>
    </row>
    <row r="9" spans="1:14" ht="49.5" x14ac:dyDescent="0.25">
      <c r="A9" s="42">
        <f t="shared" si="0"/>
        <v>7</v>
      </c>
      <c r="B9" s="124"/>
      <c r="C9" s="4" t="s">
        <v>31</v>
      </c>
      <c r="D9" s="41" t="s">
        <v>32</v>
      </c>
      <c r="E9" s="4">
        <v>1</v>
      </c>
      <c r="F9" s="4" t="s">
        <v>17</v>
      </c>
      <c r="G9" s="4" t="s">
        <v>33</v>
      </c>
      <c r="H9" s="4" t="s">
        <v>19</v>
      </c>
      <c r="I9" s="64">
        <v>75000</v>
      </c>
      <c r="J9" s="61"/>
      <c r="K9" s="65">
        <f t="shared" si="1"/>
        <v>75000</v>
      </c>
      <c r="L9" s="67"/>
      <c r="M9" s="32" t="s">
        <v>20</v>
      </c>
    </row>
    <row r="10" spans="1:14" ht="49.5" x14ac:dyDescent="0.25">
      <c r="A10" s="42">
        <f t="shared" si="0"/>
        <v>8</v>
      </c>
      <c r="B10" s="124"/>
      <c r="C10" s="4" t="s">
        <v>34</v>
      </c>
      <c r="D10" s="41" t="s">
        <v>35</v>
      </c>
      <c r="E10" s="4">
        <v>1</v>
      </c>
      <c r="F10" s="4" t="s">
        <v>17</v>
      </c>
      <c r="G10" s="4" t="s">
        <v>36</v>
      </c>
      <c r="H10" s="4" t="s">
        <v>19</v>
      </c>
      <c r="I10" s="64">
        <v>68000</v>
      </c>
      <c r="J10" s="61"/>
      <c r="K10" s="65">
        <f t="shared" si="1"/>
        <v>68000</v>
      </c>
      <c r="L10" s="67"/>
      <c r="M10" s="32" t="s">
        <v>20</v>
      </c>
    </row>
    <row r="11" spans="1:14" ht="39.950000000000003" customHeight="1" x14ac:dyDescent="0.25">
      <c r="A11" s="42">
        <f t="shared" si="0"/>
        <v>9</v>
      </c>
      <c r="B11" s="124"/>
      <c r="C11" s="4" t="s">
        <v>37</v>
      </c>
      <c r="D11" s="41" t="s">
        <v>38</v>
      </c>
      <c r="E11" s="4">
        <v>1</v>
      </c>
      <c r="F11" s="4" t="s">
        <v>17</v>
      </c>
      <c r="G11" s="4" t="s">
        <v>39</v>
      </c>
      <c r="H11" s="4" t="s">
        <v>19</v>
      </c>
      <c r="I11" s="102">
        <v>45000</v>
      </c>
      <c r="J11" s="61"/>
      <c r="K11" s="103">
        <f t="shared" si="1"/>
        <v>45000</v>
      </c>
      <c r="L11" s="67"/>
      <c r="M11" s="32" t="s">
        <v>20</v>
      </c>
    </row>
    <row r="12" spans="1:14" ht="55.5" customHeight="1" x14ac:dyDescent="0.25">
      <c r="A12" s="42">
        <f t="shared" si="0"/>
        <v>10</v>
      </c>
      <c r="B12" s="124"/>
      <c r="C12" s="43" t="s">
        <v>40</v>
      </c>
      <c r="D12" s="41" t="s">
        <v>16</v>
      </c>
      <c r="E12" s="43">
        <v>1</v>
      </c>
      <c r="F12" s="43" t="s">
        <v>17</v>
      </c>
      <c r="G12" s="43" t="s">
        <v>41</v>
      </c>
      <c r="H12" s="43" t="s">
        <v>19</v>
      </c>
      <c r="I12" s="60">
        <v>36000</v>
      </c>
      <c r="J12" s="61"/>
      <c r="K12" s="62">
        <f t="shared" si="1"/>
        <v>36000</v>
      </c>
      <c r="L12" s="67"/>
      <c r="M12" s="32" t="s">
        <v>20</v>
      </c>
    </row>
    <row r="13" spans="1:14" ht="82.5" x14ac:dyDescent="0.25">
      <c r="A13" s="42">
        <f t="shared" si="0"/>
        <v>11</v>
      </c>
      <c r="B13" s="124"/>
      <c r="C13" s="96" t="s">
        <v>173</v>
      </c>
      <c r="D13" s="97" t="s">
        <v>176</v>
      </c>
      <c r="E13" s="96">
        <v>1</v>
      </c>
      <c r="F13" s="96" t="s">
        <v>174</v>
      </c>
      <c r="G13" s="96" t="s">
        <v>175</v>
      </c>
      <c r="H13" s="43" t="s">
        <v>19</v>
      </c>
      <c r="I13" s="122">
        <v>134400</v>
      </c>
      <c r="J13" s="98"/>
      <c r="K13" s="99">
        <f t="shared" si="1"/>
        <v>134400</v>
      </c>
      <c r="L13" s="100"/>
      <c r="M13" s="32" t="s">
        <v>20</v>
      </c>
      <c r="N13" s="32" t="s">
        <v>213</v>
      </c>
    </row>
    <row r="14" spans="1:14" ht="55.5" customHeight="1" x14ac:dyDescent="0.25">
      <c r="A14" s="42">
        <f t="shared" si="0"/>
        <v>12</v>
      </c>
      <c r="B14" s="124"/>
      <c r="C14" s="43" t="s">
        <v>42</v>
      </c>
      <c r="D14" s="41"/>
      <c r="E14" s="43">
        <v>1</v>
      </c>
      <c r="F14" s="43" t="s">
        <v>43</v>
      </c>
      <c r="G14" s="43" t="s">
        <v>44</v>
      </c>
      <c r="H14" s="43"/>
      <c r="I14" s="60">
        <v>170000</v>
      </c>
      <c r="J14" s="68"/>
      <c r="K14" s="62">
        <f t="shared" si="1"/>
        <v>170000</v>
      </c>
      <c r="L14" s="67"/>
      <c r="M14" s="32" t="s">
        <v>20</v>
      </c>
    </row>
    <row r="15" spans="1:14" ht="55.5" customHeight="1" x14ac:dyDescent="0.25">
      <c r="A15" s="42">
        <f t="shared" si="0"/>
        <v>13</v>
      </c>
      <c r="B15" s="124"/>
      <c r="C15" s="43" t="s">
        <v>45</v>
      </c>
      <c r="D15" s="41"/>
      <c r="E15" s="43">
        <v>1</v>
      </c>
      <c r="F15" s="43" t="s">
        <v>43</v>
      </c>
      <c r="G15" s="43" t="s">
        <v>46</v>
      </c>
      <c r="H15" s="43"/>
      <c r="I15" s="47"/>
      <c r="J15" s="68"/>
      <c r="K15" s="62">
        <f t="shared" si="1"/>
        <v>0</v>
      </c>
      <c r="L15" s="67"/>
      <c r="M15" s="32" t="s">
        <v>20</v>
      </c>
    </row>
    <row r="16" spans="1:14" ht="39.950000000000003" customHeight="1" x14ac:dyDescent="0.25">
      <c r="A16" s="42">
        <f t="shared" si="0"/>
        <v>14</v>
      </c>
      <c r="B16" s="124"/>
      <c r="C16" s="132" t="s">
        <v>47</v>
      </c>
      <c r="D16" s="132"/>
      <c r="E16" s="132"/>
      <c r="F16" s="132"/>
      <c r="G16" s="132"/>
      <c r="H16" s="132"/>
      <c r="I16" s="132"/>
      <c r="J16" s="65">
        <f>SUM(J3:J15)</f>
        <v>0</v>
      </c>
      <c r="K16" s="69">
        <f>SUM(K3:K15)</f>
        <v>1049400</v>
      </c>
      <c r="L16" s="70"/>
      <c r="N16" s="71"/>
    </row>
    <row r="17" spans="1:15" ht="82.5" x14ac:dyDescent="0.25">
      <c r="A17" s="42">
        <f t="shared" si="0"/>
        <v>15</v>
      </c>
      <c r="B17" s="124" t="s">
        <v>48</v>
      </c>
      <c r="C17" s="4" t="s">
        <v>49</v>
      </c>
      <c r="D17" s="41" t="s">
        <v>207</v>
      </c>
      <c r="E17" s="116">
        <v>1</v>
      </c>
      <c r="F17" s="4" t="s">
        <v>17</v>
      </c>
      <c r="G17" s="4" t="s">
        <v>206</v>
      </c>
      <c r="H17" s="43" t="s">
        <v>19</v>
      </c>
      <c r="I17" s="102">
        <v>250000</v>
      </c>
      <c r="J17" s="72">
        <v>0</v>
      </c>
      <c r="K17" s="65">
        <f>I17*E17+J17</f>
        <v>250000</v>
      </c>
      <c r="L17" s="63" t="s">
        <v>50</v>
      </c>
      <c r="M17" s="32" t="s">
        <v>20</v>
      </c>
      <c r="N17" s="111">
        <v>2</v>
      </c>
    </row>
    <row r="18" spans="1:15" ht="72.75" customHeight="1" x14ac:dyDescent="0.25">
      <c r="A18" s="42">
        <f t="shared" si="0"/>
        <v>16</v>
      </c>
      <c r="B18" s="124"/>
      <c r="C18" s="104" t="s">
        <v>178</v>
      </c>
      <c r="D18" s="92" t="s">
        <v>179</v>
      </c>
      <c r="E18" s="119">
        <v>0</v>
      </c>
      <c r="F18" s="104" t="s">
        <v>17</v>
      </c>
      <c r="G18" s="104" t="s">
        <v>51</v>
      </c>
      <c r="H18" s="91" t="s">
        <v>19</v>
      </c>
      <c r="I18" s="105">
        <v>100000</v>
      </c>
      <c r="J18" s="106">
        <v>0</v>
      </c>
      <c r="K18" s="106">
        <f>I18*E18+J18</f>
        <v>0</v>
      </c>
      <c r="L18" s="107" t="s">
        <v>50</v>
      </c>
      <c r="M18" s="32" t="s">
        <v>20</v>
      </c>
      <c r="N18" s="111">
        <v>1</v>
      </c>
    </row>
    <row r="19" spans="1:15" ht="39.950000000000003" customHeight="1" x14ac:dyDescent="0.25">
      <c r="A19" s="42">
        <f t="shared" si="0"/>
        <v>17</v>
      </c>
      <c r="B19" s="124"/>
      <c r="C19" s="132" t="s">
        <v>47</v>
      </c>
      <c r="D19" s="132"/>
      <c r="E19" s="132"/>
      <c r="F19" s="132"/>
      <c r="G19" s="132"/>
      <c r="H19" s="132"/>
      <c r="I19" s="132"/>
      <c r="J19" s="65">
        <f>SUM(J17:J17)</f>
        <v>0</v>
      </c>
      <c r="K19" s="69">
        <f>SUM(K17:K18)</f>
        <v>250000</v>
      </c>
      <c r="L19" s="70"/>
      <c r="N19" s="111"/>
    </row>
    <row r="20" spans="1:15" s="30" customFormat="1" ht="50.25" customHeight="1" x14ac:dyDescent="0.25">
      <c r="A20" s="42">
        <f t="shared" si="0"/>
        <v>18</v>
      </c>
      <c r="B20" s="127" t="s">
        <v>52</v>
      </c>
      <c r="C20" s="4" t="s">
        <v>53</v>
      </c>
      <c r="D20" s="41" t="s">
        <v>54</v>
      </c>
      <c r="E20" s="112">
        <v>1</v>
      </c>
      <c r="F20" s="4" t="s">
        <v>17</v>
      </c>
      <c r="G20" s="4" t="s">
        <v>55</v>
      </c>
      <c r="H20" s="4" t="s">
        <v>56</v>
      </c>
      <c r="I20" s="64">
        <v>75000</v>
      </c>
      <c r="J20" s="72">
        <v>0</v>
      </c>
      <c r="K20" s="65">
        <f t="shared" ref="K20:K37" si="2">I20*E20+J20</f>
        <v>75000</v>
      </c>
      <c r="L20" s="63" t="s">
        <v>57</v>
      </c>
      <c r="M20" s="32" t="s">
        <v>20</v>
      </c>
      <c r="N20" s="111">
        <v>2</v>
      </c>
    </row>
    <row r="21" spans="1:15" s="30" customFormat="1" ht="54.75" customHeight="1" x14ac:dyDescent="0.25">
      <c r="A21" s="42">
        <f t="shared" si="0"/>
        <v>19</v>
      </c>
      <c r="B21" s="128"/>
      <c r="C21" s="4" t="s">
        <v>58</v>
      </c>
      <c r="D21" s="41" t="s">
        <v>59</v>
      </c>
      <c r="E21" s="4">
        <v>1</v>
      </c>
      <c r="F21" s="4" t="s">
        <v>17</v>
      </c>
      <c r="G21" s="4" t="s">
        <v>55</v>
      </c>
      <c r="H21" s="4" t="s">
        <v>60</v>
      </c>
      <c r="I21" s="73">
        <v>55000</v>
      </c>
      <c r="J21" s="72">
        <v>0</v>
      </c>
      <c r="K21" s="65">
        <f t="shared" si="2"/>
        <v>55000</v>
      </c>
      <c r="L21" s="63" t="s">
        <v>57</v>
      </c>
      <c r="M21" s="32" t="s">
        <v>20</v>
      </c>
      <c r="N21" s="111">
        <v>1</v>
      </c>
    </row>
    <row r="22" spans="1:15" s="30" customFormat="1" ht="48" customHeight="1" x14ac:dyDescent="0.25">
      <c r="A22" s="42">
        <f t="shared" si="0"/>
        <v>20</v>
      </c>
      <c r="B22" s="128"/>
      <c r="C22" s="4" t="s">
        <v>58</v>
      </c>
      <c r="D22" s="41" t="s">
        <v>61</v>
      </c>
      <c r="E22" s="112">
        <v>3</v>
      </c>
      <c r="F22" s="4" t="s">
        <v>17</v>
      </c>
      <c r="G22" s="4" t="s">
        <v>55</v>
      </c>
      <c r="H22" s="4" t="s">
        <v>62</v>
      </c>
      <c r="I22" s="73">
        <v>90000</v>
      </c>
      <c r="J22" s="72">
        <v>0</v>
      </c>
      <c r="K22" s="65">
        <f t="shared" si="2"/>
        <v>270000</v>
      </c>
      <c r="L22" s="63" t="s">
        <v>57</v>
      </c>
      <c r="M22" s="32" t="s">
        <v>20</v>
      </c>
      <c r="N22" s="111">
        <v>1</v>
      </c>
    </row>
    <row r="23" spans="1:15" s="31" customFormat="1" ht="72" customHeight="1" x14ac:dyDescent="0.25">
      <c r="A23" s="42">
        <f t="shared" si="0"/>
        <v>21</v>
      </c>
      <c r="B23" s="128"/>
      <c r="C23" s="121" t="s">
        <v>63</v>
      </c>
      <c r="D23" s="92" t="s">
        <v>181</v>
      </c>
      <c r="E23" s="104">
        <v>0</v>
      </c>
      <c r="F23" s="104" t="s">
        <v>17</v>
      </c>
      <c r="G23" s="104" t="s">
        <v>55</v>
      </c>
      <c r="H23" s="104" t="s">
        <v>64</v>
      </c>
      <c r="I23" s="121">
        <v>20000</v>
      </c>
      <c r="J23" s="106">
        <v>0</v>
      </c>
      <c r="K23" s="106">
        <f t="shared" si="2"/>
        <v>0</v>
      </c>
      <c r="L23" s="107" t="s">
        <v>57</v>
      </c>
      <c r="M23" s="32" t="s">
        <v>20</v>
      </c>
      <c r="N23" s="111">
        <v>1</v>
      </c>
    </row>
    <row r="24" spans="1:15" s="30" customFormat="1" ht="54" customHeight="1" x14ac:dyDescent="0.25">
      <c r="A24" s="42">
        <f t="shared" si="0"/>
        <v>22</v>
      </c>
      <c r="B24" s="128"/>
      <c r="C24" s="4" t="s">
        <v>65</v>
      </c>
      <c r="D24" s="118" t="s">
        <v>188</v>
      </c>
      <c r="E24" s="112">
        <v>3</v>
      </c>
      <c r="F24" s="4" t="s">
        <v>66</v>
      </c>
      <c r="G24" s="4" t="s">
        <v>67</v>
      </c>
      <c r="H24" s="4" t="s">
        <v>68</v>
      </c>
      <c r="I24" s="102">
        <v>30000</v>
      </c>
      <c r="J24" s="72">
        <v>0</v>
      </c>
      <c r="K24" s="65">
        <f t="shared" si="2"/>
        <v>90000</v>
      </c>
      <c r="L24" s="63" t="s">
        <v>57</v>
      </c>
      <c r="M24" s="32" t="s">
        <v>20</v>
      </c>
      <c r="N24" s="111">
        <v>6</v>
      </c>
    </row>
    <row r="25" spans="1:15" s="30" customFormat="1" ht="54" customHeight="1" x14ac:dyDescent="0.25">
      <c r="A25" s="42">
        <f t="shared" si="0"/>
        <v>23</v>
      </c>
      <c r="B25" s="128"/>
      <c r="C25" s="4" t="s">
        <v>65</v>
      </c>
      <c r="D25" s="41" t="s">
        <v>69</v>
      </c>
      <c r="E25" s="112">
        <v>8</v>
      </c>
      <c r="F25" s="4" t="s">
        <v>66</v>
      </c>
      <c r="G25" s="4" t="s">
        <v>67</v>
      </c>
      <c r="H25" s="4" t="s">
        <v>70</v>
      </c>
      <c r="I25" s="73">
        <v>7200</v>
      </c>
      <c r="J25" s="72">
        <v>0</v>
      </c>
      <c r="K25" s="65">
        <f t="shared" si="2"/>
        <v>57600</v>
      </c>
      <c r="L25" s="63" t="s">
        <v>57</v>
      </c>
      <c r="M25" s="32" t="s">
        <v>20</v>
      </c>
      <c r="N25" s="111">
        <v>13</v>
      </c>
    </row>
    <row r="26" spans="1:15" s="30" customFormat="1" ht="65.25" customHeight="1" x14ac:dyDescent="0.25">
      <c r="A26" s="42">
        <f t="shared" si="0"/>
        <v>24</v>
      </c>
      <c r="B26" s="128"/>
      <c r="C26" s="110" t="s">
        <v>71</v>
      </c>
      <c r="D26" s="41" t="s">
        <v>72</v>
      </c>
      <c r="E26" s="112">
        <v>7</v>
      </c>
      <c r="F26" s="108" t="s">
        <v>66</v>
      </c>
      <c r="G26" s="108" t="s">
        <v>73</v>
      </c>
      <c r="H26" s="109" t="s">
        <v>19</v>
      </c>
      <c r="I26" s="73">
        <v>7000</v>
      </c>
      <c r="J26" s="72">
        <v>0</v>
      </c>
      <c r="K26" s="65">
        <f t="shared" ref="K26" si="3">I26*E26+J26</f>
        <v>49000</v>
      </c>
      <c r="L26" s="63" t="s">
        <v>57</v>
      </c>
      <c r="M26" s="32" t="s">
        <v>20</v>
      </c>
      <c r="N26" s="111">
        <v>16</v>
      </c>
    </row>
    <row r="27" spans="1:15" s="30" customFormat="1" ht="65.25" customHeight="1" x14ac:dyDescent="0.25">
      <c r="A27" s="42">
        <f t="shared" si="0"/>
        <v>25</v>
      </c>
      <c r="B27" s="128"/>
      <c r="C27" s="116" t="s">
        <v>197</v>
      </c>
      <c r="D27" s="97" t="s">
        <v>189</v>
      </c>
      <c r="E27" s="112">
        <v>5</v>
      </c>
      <c r="F27" s="112" t="s">
        <v>66</v>
      </c>
      <c r="G27" s="112" t="s">
        <v>190</v>
      </c>
      <c r="H27" s="96" t="s">
        <v>19</v>
      </c>
      <c r="I27" s="102">
        <v>20000</v>
      </c>
      <c r="J27" s="103">
        <v>0</v>
      </c>
      <c r="K27" s="103">
        <f t="shared" si="2"/>
        <v>100000</v>
      </c>
      <c r="L27" s="100" t="s">
        <v>57</v>
      </c>
      <c r="M27" s="32" t="s">
        <v>20</v>
      </c>
      <c r="N27" s="111" t="s">
        <v>213</v>
      </c>
    </row>
    <row r="28" spans="1:15" s="30" customFormat="1" ht="66" x14ac:dyDescent="0.25">
      <c r="A28" s="42">
        <f t="shared" si="0"/>
        <v>26</v>
      </c>
      <c r="B28" s="128"/>
      <c r="C28" s="104" t="s">
        <v>74</v>
      </c>
      <c r="D28" s="92" t="s">
        <v>75</v>
      </c>
      <c r="E28" s="104">
        <v>0</v>
      </c>
      <c r="F28" s="104" t="s">
        <v>66</v>
      </c>
      <c r="G28" s="104" t="s">
        <v>76</v>
      </c>
      <c r="H28" s="91" t="s">
        <v>19</v>
      </c>
      <c r="I28" s="105">
        <v>20000</v>
      </c>
      <c r="J28" s="106">
        <v>0</v>
      </c>
      <c r="K28" s="106">
        <f t="shared" si="2"/>
        <v>0</v>
      </c>
      <c r="L28" s="107" t="s">
        <v>57</v>
      </c>
      <c r="M28" s="32" t="s">
        <v>20</v>
      </c>
      <c r="N28" s="111">
        <v>4</v>
      </c>
    </row>
    <row r="29" spans="1:15" s="30" customFormat="1" ht="66" x14ac:dyDescent="0.25">
      <c r="A29" s="42"/>
      <c r="B29" s="128"/>
      <c r="C29" s="112" t="s">
        <v>193</v>
      </c>
      <c r="D29" s="97" t="s">
        <v>209</v>
      </c>
      <c r="E29" s="112">
        <v>1</v>
      </c>
      <c r="F29" s="112" t="s">
        <v>182</v>
      </c>
      <c r="G29" s="112" t="s">
        <v>205</v>
      </c>
      <c r="H29" s="96"/>
      <c r="I29" s="102">
        <v>20000</v>
      </c>
      <c r="J29" s="103">
        <v>0</v>
      </c>
      <c r="K29" s="103">
        <f t="shared" si="2"/>
        <v>20000</v>
      </c>
      <c r="L29" s="100" t="s">
        <v>57</v>
      </c>
      <c r="M29" s="32"/>
      <c r="N29" s="111" t="s">
        <v>213</v>
      </c>
      <c r="O29" s="113"/>
    </row>
    <row r="30" spans="1:15" s="30" customFormat="1" ht="66" x14ac:dyDescent="0.25">
      <c r="A30" s="42"/>
      <c r="B30" s="128"/>
      <c r="C30" s="112" t="s">
        <v>192</v>
      </c>
      <c r="D30" s="97" t="s">
        <v>210</v>
      </c>
      <c r="E30" s="112">
        <v>2</v>
      </c>
      <c r="F30" s="112" t="s">
        <v>182</v>
      </c>
      <c r="G30" s="112" t="s">
        <v>204</v>
      </c>
      <c r="H30" s="96"/>
      <c r="I30" s="102">
        <v>90000</v>
      </c>
      <c r="J30" s="103">
        <v>0</v>
      </c>
      <c r="K30" s="103">
        <f t="shared" si="2"/>
        <v>180000</v>
      </c>
      <c r="L30" s="100" t="s">
        <v>57</v>
      </c>
      <c r="M30" s="32"/>
      <c r="N30" s="111" t="s">
        <v>213</v>
      </c>
      <c r="O30" s="115"/>
    </row>
    <row r="31" spans="1:15" s="30" customFormat="1" ht="66" x14ac:dyDescent="0.25">
      <c r="A31" s="42"/>
      <c r="B31" s="128"/>
      <c r="C31" s="112" t="s">
        <v>191</v>
      </c>
      <c r="D31" s="97" t="s">
        <v>212</v>
      </c>
      <c r="E31" s="112">
        <v>1</v>
      </c>
      <c r="F31" s="112" t="s">
        <v>182</v>
      </c>
      <c r="G31" s="112" t="s">
        <v>204</v>
      </c>
      <c r="H31" s="96"/>
      <c r="I31" s="102">
        <v>10000</v>
      </c>
      <c r="J31" s="103">
        <v>0</v>
      </c>
      <c r="K31" s="103">
        <f t="shared" si="2"/>
        <v>10000</v>
      </c>
      <c r="L31" s="100" t="s">
        <v>57</v>
      </c>
      <c r="M31" s="32"/>
      <c r="N31" s="111" t="s">
        <v>213</v>
      </c>
      <c r="O31" s="113"/>
    </row>
    <row r="32" spans="1:15" s="30" customFormat="1" ht="66" x14ac:dyDescent="0.25">
      <c r="A32" s="42"/>
      <c r="B32" s="128"/>
      <c r="C32" s="112" t="s">
        <v>196</v>
      </c>
      <c r="D32" s="97" t="s">
        <v>212</v>
      </c>
      <c r="E32" s="112">
        <v>2</v>
      </c>
      <c r="F32" s="112" t="s">
        <v>182</v>
      </c>
      <c r="G32" s="112" t="s">
        <v>203</v>
      </c>
      <c r="H32" s="96"/>
      <c r="I32" s="102">
        <v>25000</v>
      </c>
      <c r="J32" s="103">
        <v>0</v>
      </c>
      <c r="K32" s="103">
        <f t="shared" si="2"/>
        <v>50000</v>
      </c>
      <c r="L32" s="100" t="s">
        <v>57</v>
      </c>
      <c r="M32" s="32"/>
      <c r="N32" s="111" t="s">
        <v>213</v>
      </c>
      <c r="O32" s="113"/>
    </row>
    <row r="33" spans="1:15" s="30" customFormat="1" ht="49.5" x14ac:dyDescent="0.25">
      <c r="A33" s="42"/>
      <c r="B33" s="128"/>
      <c r="C33" s="112" t="s">
        <v>194</v>
      </c>
      <c r="D33" s="97" t="s">
        <v>198</v>
      </c>
      <c r="E33" s="112">
        <v>2</v>
      </c>
      <c r="F33" s="112" t="s">
        <v>195</v>
      </c>
      <c r="G33" s="112" t="s">
        <v>201</v>
      </c>
      <c r="H33" s="96"/>
      <c r="I33" s="102">
        <v>17500</v>
      </c>
      <c r="J33" s="103">
        <v>0</v>
      </c>
      <c r="K33" s="103">
        <f t="shared" si="2"/>
        <v>35000</v>
      </c>
      <c r="L33" s="100" t="s">
        <v>57</v>
      </c>
      <c r="M33" s="32"/>
      <c r="N33" s="111" t="s">
        <v>213</v>
      </c>
      <c r="O33" s="113"/>
    </row>
    <row r="34" spans="1:15" s="30" customFormat="1" ht="49.5" x14ac:dyDescent="0.25">
      <c r="A34" s="42"/>
      <c r="B34" s="128"/>
      <c r="C34" s="112" t="s">
        <v>194</v>
      </c>
      <c r="D34" s="97" t="s">
        <v>199</v>
      </c>
      <c r="E34" s="112">
        <v>1</v>
      </c>
      <c r="F34" s="112" t="s">
        <v>182</v>
      </c>
      <c r="G34" s="112" t="s">
        <v>201</v>
      </c>
      <c r="H34" s="96"/>
      <c r="I34" s="102">
        <v>14500</v>
      </c>
      <c r="J34" s="103">
        <v>0</v>
      </c>
      <c r="K34" s="103">
        <f t="shared" ref="K34" si="4">I34*E34+J34</f>
        <v>14500</v>
      </c>
      <c r="L34" s="100" t="s">
        <v>57</v>
      </c>
      <c r="M34" s="32"/>
      <c r="N34" s="111" t="s">
        <v>213</v>
      </c>
      <c r="O34" s="113"/>
    </row>
    <row r="35" spans="1:15" s="30" customFormat="1" ht="49.5" x14ac:dyDescent="0.25">
      <c r="A35" s="42"/>
      <c r="B35" s="128"/>
      <c r="C35" s="112" t="s">
        <v>183</v>
      </c>
      <c r="D35" s="97" t="s">
        <v>200</v>
      </c>
      <c r="E35" s="112">
        <v>2</v>
      </c>
      <c r="F35" s="112" t="s">
        <v>182</v>
      </c>
      <c r="G35" s="112" t="s">
        <v>202</v>
      </c>
      <c r="H35" s="96"/>
      <c r="I35" s="102">
        <v>9500</v>
      </c>
      <c r="J35" s="103">
        <v>0</v>
      </c>
      <c r="K35" s="103">
        <f t="shared" si="2"/>
        <v>19000</v>
      </c>
      <c r="L35" s="100" t="s">
        <v>57</v>
      </c>
      <c r="M35" s="32"/>
      <c r="N35" s="111" t="s">
        <v>213</v>
      </c>
      <c r="O35" s="113"/>
    </row>
    <row r="36" spans="1:15" s="30" customFormat="1" ht="51.75" customHeight="1" x14ac:dyDescent="0.25">
      <c r="A36" s="42">
        <f t="shared" si="0"/>
        <v>34</v>
      </c>
      <c r="B36" s="128"/>
      <c r="C36" s="104" t="s">
        <v>77</v>
      </c>
      <c r="D36" s="92" t="s">
        <v>184</v>
      </c>
      <c r="E36" s="104">
        <v>0</v>
      </c>
      <c r="F36" s="104" t="s">
        <v>17</v>
      </c>
      <c r="G36" s="104" t="s">
        <v>78</v>
      </c>
      <c r="H36" s="91" t="s">
        <v>19</v>
      </c>
      <c r="I36" s="105">
        <v>20000</v>
      </c>
      <c r="J36" s="106">
        <v>0</v>
      </c>
      <c r="K36" s="106">
        <f t="shared" si="2"/>
        <v>0</v>
      </c>
      <c r="L36" s="107" t="s">
        <v>57</v>
      </c>
      <c r="M36" s="32" t="s">
        <v>20</v>
      </c>
      <c r="N36" s="111">
        <v>5</v>
      </c>
    </row>
    <row r="37" spans="1:15" s="30" customFormat="1" ht="48" customHeight="1" x14ac:dyDescent="0.25">
      <c r="A37" s="42">
        <f t="shared" si="0"/>
        <v>35</v>
      </c>
      <c r="B37" s="128"/>
      <c r="C37" s="4" t="s">
        <v>79</v>
      </c>
      <c r="D37" s="41" t="s">
        <v>208</v>
      </c>
      <c r="E37" s="114">
        <v>6</v>
      </c>
      <c r="F37" s="4" t="s">
        <v>17</v>
      </c>
      <c r="G37" s="120" t="s">
        <v>203</v>
      </c>
      <c r="H37" s="43" t="s">
        <v>19</v>
      </c>
      <c r="I37" s="64">
        <v>8000</v>
      </c>
      <c r="J37" s="72">
        <v>0</v>
      </c>
      <c r="K37" s="65">
        <f t="shared" si="2"/>
        <v>48000</v>
      </c>
      <c r="L37" s="63" t="s">
        <v>57</v>
      </c>
      <c r="M37" s="32" t="s">
        <v>20</v>
      </c>
      <c r="N37" s="111">
        <v>12</v>
      </c>
    </row>
    <row r="38" spans="1:15" ht="39.950000000000003" customHeight="1" x14ac:dyDescent="0.25">
      <c r="A38" s="42">
        <f t="shared" si="0"/>
        <v>36</v>
      </c>
      <c r="B38" s="129"/>
      <c r="C38" s="132" t="s">
        <v>47</v>
      </c>
      <c r="D38" s="132"/>
      <c r="E38" s="132"/>
      <c r="F38" s="132"/>
      <c r="G38" s="132"/>
      <c r="H38" s="132"/>
      <c r="I38" s="132"/>
      <c r="J38" s="65">
        <f>SUM(J36:J37)</f>
        <v>0</v>
      </c>
      <c r="K38" s="69">
        <f>SUM(K20:K37)</f>
        <v>1073100</v>
      </c>
      <c r="L38" s="70"/>
      <c r="N38" s="71"/>
    </row>
    <row r="39" spans="1:15" s="30" customFormat="1" ht="82.5" x14ac:dyDescent="0.25">
      <c r="A39" s="42">
        <f t="shared" si="0"/>
        <v>37</v>
      </c>
      <c r="B39" s="127" t="s">
        <v>80</v>
      </c>
      <c r="C39" s="125" t="s">
        <v>81</v>
      </c>
      <c r="D39" s="48" t="s">
        <v>82</v>
      </c>
      <c r="E39" s="49">
        <v>1</v>
      </c>
      <c r="F39" s="49" t="s">
        <v>17</v>
      </c>
      <c r="G39" s="49" t="s">
        <v>83</v>
      </c>
      <c r="H39" s="49" t="s">
        <v>84</v>
      </c>
      <c r="I39" s="126">
        <v>340000</v>
      </c>
      <c r="J39" s="74">
        <v>0</v>
      </c>
      <c r="K39" s="130">
        <v>340000</v>
      </c>
      <c r="L39" s="75" t="s">
        <v>85</v>
      </c>
      <c r="M39" s="76"/>
      <c r="N39" s="71"/>
    </row>
    <row r="40" spans="1:15" s="30" customFormat="1" ht="99" x14ac:dyDescent="0.25">
      <c r="A40" s="42">
        <f t="shared" si="0"/>
        <v>38</v>
      </c>
      <c r="B40" s="128"/>
      <c r="C40" s="125"/>
      <c r="D40" s="48" t="s">
        <v>86</v>
      </c>
      <c r="E40" s="49">
        <v>1</v>
      </c>
      <c r="F40" s="49" t="s">
        <v>17</v>
      </c>
      <c r="G40" s="49" t="s">
        <v>87</v>
      </c>
      <c r="H40" s="49" t="s">
        <v>84</v>
      </c>
      <c r="I40" s="126"/>
      <c r="J40" s="74">
        <v>0</v>
      </c>
      <c r="K40" s="131"/>
      <c r="L40" s="75" t="s">
        <v>85</v>
      </c>
      <c r="M40" s="76"/>
      <c r="N40" s="71"/>
    </row>
    <row r="41" spans="1:15" s="30" customFormat="1" ht="39.950000000000003" customHeight="1" x14ac:dyDescent="0.25">
      <c r="A41" s="42">
        <f t="shared" si="0"/>
        <v>39</v>
      </c>
      <c r="B41" s="129"/>
      <c r="C41" s="132" t="s">
        <v>47</v>
      </c>
      <c r="D41" s="132"/>
      <c r="E41" s="132"/>
      <c r="F41" s="132"/>
      <c r="G41" s="132"/>
      <c r="H41" s="132"/>
      <c r="I41" s="132"/>
      <c r="J41" s="65">
        <f>SUM(J36:J40)</f>
        <v>0</v>
      </c>
      <c r="K41" s="69">
        <v>0</v>
      </c>
      <c r="L41" s="70"/>
      <c r="M41" s="32"/>
      <c r="N41" s="71"/>
    </row>
    <row r="42" spans="1:15" s="30" customFormat="1" ht="88.5" customHeight="1" x14ac:dyDescent="0.25">
      <c r="A42" s="42">
        <f t="shared" si="0"/>
        <v>40</v>
      </c>
      <c r="B42" s="124" t="s">
        <v>88</v>
      </c>
      <c r="C42" s="4" t="s">
        <v>88</v>
      </c>
      <c r="D42" s="118" t="s">
        <v>187</v>
      </c>
      <c r="E42" s="46">
        <v>1</v>
      </c>
      <c r="F42" s="4" t="s">
        <v>43</v>
      </c>
      <c r="G42" s="43" t="s">
        <v>19</v>
      </c>
      <c r="H42" s="43" t="s">
        <v>19</v>
      </c>
      <c r="I42" s="77">
        <v>350000</v>
      </c>
      <c r="J42" s="65">
        <v>0</v>
      </c>
      <c r="K42" s="65">
        <f>I42*E42+J42</f>
        <v>350000</v>
      </c>
      <c r="L42" s="63" t="s">
        <v>89</v>
      </c>
      <c r="M42" s="32" t="s">
        <v>90</v>
      </c>
      <c r="N42" s="71"/>
    </row>
    <row r="43" spans="1:15" s="30" customFormat="1" ht="62.25" customHeight="1" x14ac:dyDescent="0.25">
      <c r="A43" s="42">
        <f t="shared" si="0"/>
        <v>41</v>
      </c>
      <c r="B43" s="124"/>
      <c r="C43" s="49" t="s">
        <v>91</v>
      </c>
      <c r="D43" s="48" t="s">
        <v>92</v>
      </c>
      <c r="E43" s="50">
        <v>1</v>
      </c>
      <c r="F43" s="49" t="s">
        <v>43</v>
      </c>
      <c r="G43" s="51" t="s">
        <v>19</v>
      </c>
      <c r="H43" s="51" t="s">
        <v>19</v>
      </c>
      <c r="I43" s="77">
        <v>200818</v>
      </c>
      <c r="J43" s="78">
        <v>0</v>
      </c>
      <c r="K43" s="79">
        <v>200818</v>
      </c>
      <c r="L43" s="75" t="s">
        <v>93</v>
      </c>
      <c r="M43" s="76"/>
      <c r="N43" s="71"/>
    </row>
    <row r="44" spans="1:15" ht="42.75" customHeight="1" x14ac:dyDescent="0.25">
      <c r="A44" s="42">
        <f t="shared" si="0"/>
        <v>42</v>
      </c>
      <c r="B44" s="124"/>
      <c r="C44" s="132" t="s">
        <v>47</v>
      </c>
      <c r="D44" s="132"/>
      <c r="E44" s="132"/>
      <c r="F44" s="132"/>
      <c r="G44" s="132"/>
      <c r="H44" s="132"/>
      <c r="I44" s="132"/>
      <c r="J44" s="65">
        <f>SUM(J36:J42)</f>
        <v>0</v>
      </c>
      <c r="K44" s="69">
        <f>SUM(K42)</f>
        <v>350000</v>
      </c>
      <c r="L44" s="70"/>
      <c r="N44" s="71"/>
    </row>
    <row r="45" spans="1:15" s="30" customFormat="1" ht="69.75" customHeight="1" x14ac:dyDescent="0.25">
      <c r="A45" s="42">
        <f t="shared" si="0"/>
        <v>43</v>
      </c>
      <c r="B45" s="124" t="s">
        <v>94</v>
      </c>
      <c r="C45" s="4" t="s">
        <v>95</v>
      </c>
      <c r="D45" s="41" t="s">
        <v>96</v>
      </c>
      <c r="E45" s="4">
        <v>1</v>
      </c>
      <c r="F45" s="4" t="s">
        <v>43</v>
      </c>
      <c r="G45" s="43" t="s">
        <v>19</v>
      </c>
      <c r="H45" s="43" t="s">
        <v>19</v>
      </c>
      <c r="I45" s="80">
        <v>0</v>
      </c>
      <c r="J45" s="77">
        <v>270000</v>
      </c>
      <c r="K45" s="65">
        <f>I45*E45+J45</f>
        <v>270000</v>
      </c>
      <c r="L45" s="63" t="s">
        <v>57</v>
      </c>
      <c r="M45" s="117" t="s">
        <v>185</v>
      </c>
      <c r="N45" s="71"/>
    </row>
    <row r="46" spans="1:15" s="30" customFormat="1" ht="61.5" customHeight="1" x14ac:dyDescent="0.25">
      <c r="A46" s="42">
        <f t="shared" si="0"/>
        <v>44</v>
      </c>
      <c r="B46" s="124"/>
      <c r="C46" s="4" t="s">
        <v>97</v>
      </c>
      <c r="D46" s="41" t="s">
        <v>98</v>
      </c>
      <c r="E46" s="4">
        <v>1</v>
      </c>
      <c r="F46" s="4" t="s">
        <v>43</v>
      </c>
      <c r="G46" s="43" t="s">
        <v>19</v>
      </c>
      <c r="H46" s="43" t="s">
        <v>19</v>
      </c>
      <c r="I46" s="80">
        <v>0</v>
      </c>
      <c r="J46" s="77">
        <v>60000</v>
      </c>
      <c r="K46" s="65">
        <f>I46*E46+J46</f>
        <v>60000</v>
      </c>
      <c r="L46" s="63"/>
      <c r="M46" s="117" t="s">
        <v>185</v>
      </c>
      <c r="N46" s="71"/>
    </row>
    <row r="47" spans="1:15" s="30" customFormat="1" ht="39.950000000000003" customHeight="1" x14ac:dyDescent="0.25">
      <c r="A47" s="42">
        <f t="shared" si="0"/>
        <v>45</v>
      </c>
      <c r="B47" s="124"/>
      <c r="C47" s="4" t="s">
        <v>99</v>
      </c>
      <c r="D47" s="41" t="s">
        <v>100</v>
      </c>
      <c r="E47" s="4">
        <v>1</v>
      </c>
      <c r="F47" s="4" t="s">
        <v>43</v>
      </c>
      <c r="G47" s="43" t="s">
        <v>19</v>
      </c>
      <c r="H47" s="43" t="s">
        <v>19</v>
      </c>
      <c r="I47" s="80"/>
      <c r="J47" s="65">
        <v>0</v>
      </c>
      <c r="K47" s="65">
        <f>(K45+K46)*6%</f>
        <v>19800</v>
      </c>
      <c r="L47" s="63"/>
      <c r="M47" s="32"/>
      <c r="N47" s="71"/>
    </row>
    <row r="48" spans="1:15" s="30" customFormat="1" ht="39.950000000000003" customHeight="1" x14ac:dyDescent="0.25">
      <c r="A48" s="42">
        <f t="shared" si="0"/>
        <v>46</v>
      </c>
      <c r="B48" s="124"/>
      <c r="C48" s="45"/>
      <c r="D48" s="45"/>
      <c r="E48" s="45"/>
      <c r="F48" s="45"/>
      <c r="G48" s="45"/>
      <c r="H48" s="45"/>
      <c r="I48" s="81"/>
      <c r="J48" s="65">
        <v>0</v>
      </c>
      <c r="K48" s="69">
        <f>SUM(K45:K47)</f>
        <v>349800</v>
      </c>
      <c r="L48" s="70"/>
      <c r="M48" s="32"/>
      <c r="N48" s="71"/>
    </row>
    <row r="49" spans="1:14" s="30" customFormat="1" ht="39.950000000000003" customHeight="1" x14ac:dyDescent="0.25">
      <c r="A49" s="42">
        <f t="shared" si="0"/>
        <v>47</v>
      </c>
      <c r="B49" s="124" t="s">
        <v>101</v>
      </c>
      <c r="C49" s="4" t="s">
        <v>102</v>
      </c>
      <c r="D49" s="41" t="s">
        <v>103</v>
      </c>
      <c r="E49" s="4">
        <v>1</v>
      </c>
      <c r="F49" s="4" t="s">
        <v>43</v>
      </c>
      <c r="G49" s="43" t="s">
        <v>19</v>
      </c>
      <c r="H49" s="43" t="s">
        <v>19</v>
      </c>
      <c r="I49" s="80">
        <v>0</v>
      </c>
      <c r="J49" s="65">
        <v>0</v>
      </c>
      <c r="K49" s="65">
        <f>I49*E49+J49</f>
        <v>0</v>
      </c>
      <c r="L49" s="63"/>
      <c r="M49" s="32" t="s">
        <v>104</v>
      </c>
      <c r="N49" s="71"/>
    </row>
    <row r="50" spans="1:14" s="30" customFormat="1" ht="39.950000000000003" customHeight="1" x14ac:dyDescent="0.25">
      <c r="A50" s="42">
        <f t="shared" si="0"/>
        <v>48</v>
      </c>
      <c r="B50" s="124"/>
      <c r="C50" s="4" t="s">
        <v>105</v>
      </c>
      <c r="D50" s="41" t="s">
        <v>106</v>
      </c>
      <c r="E50" s="4">
        <v>1</v>
      </c>
      <c r="F50" s="4" t="s">
        <v>43</v>
      </c>
      <c r="G50" s="43" t="s">
        <v>19</v>
      </c>
      <c r="H50" s="43" t="s">
        <v>19</v>
      </c>
      <c r="I50" s="73">
        <v>100000</v>
      </c>
      <c r="J50" s="65">
        <v>0</v>
      </c>
      <c r="K50" s="65">
        <f>I50*E50+J50</f>
        <v>100000</v>
      </c>
      <c r="L50" s="63"/>
      <c r="M50" s="32" t="s">
        <v>211</v>
      </c>
      <c r="N50" s="71"/>
    </row>
    <row r="51" spans="1:14" s="30" customFormat="1" ht="39.950000000000003" customHeight="1" x14ac:dyDescent="0.25">
      <c r="A51" s="42">
        <f t="shared" si="0"/>
        <v>49</v>
      </c>
      <c r="B51" s="124"/>
      <c r="C51" s="4" t="s">
        <v>107</v>
      </c>
      <c r="D51" s="41" t="s">
        <v>108</v>
      </c>
      <c r="E51" s="4">
        <v>1</v>
      </c>
      <c r="F51" s="4" t="s">
        <v>43</v>
      </c>
      <c r="G51" s="43" t="s">
        <v>19</v>
      </c>
      <c r="H51" s="43" t="s">
        <v>19</v>
      </c>
      <c r="I51" s="80">
        <v>0</v>
      </c>
      <c r="J51" s="65">
        <v>0</v>
      </c>
      <c r="K51" s="65">
        <f>I51*E51+J51</f>
        <v>0</v>
      </c>
      <c r="L51" s="63"/>
      <c r="M51" s="32"/>
      <c r="N51" s="71"/>
    </row>
    <row r="52" spans="1:14" s="30" customFormat="1" ht="39.950000000000003" customHeight="1" x14ac:dyDescent="0.25">
      <c r="A52" s="42">
        <f t="shared" si="0"/>
        <v>50</v>
      </c>
      <c r="B52" s="124"/>
      <c r="C52" s="45"/>
      <c r="D52" s="45"/>
      <c r="E52" s="45"/>
      <c r="F52" s="45"/>
      <c r="G52" s="45"/>
      <c r="H52" s="45"/>
      <c r="I52" s="81"/>
      <c r="J52" s="65">
        <v>0</v>
      </c>
      <c r="K52" s="69">
        <f>SUM(K49:K51)</f>
        <v>100000</v>
      </c>
      <c r="L52" s="70"/>
      <c r="M52" s="32"/>
      <c r="N52" s="71"/>
    </row>
    <row r="53" spans="1:14" s="30" customFormat="1" ht="36.950000000000003" customHeight="1" x14ac:dyDescent="0.25">
      <c r="A53" s="52">
        <f t="shared" si="0"/>
        <v>51</v>
      </c>
      <c r="B53" s="123" t="s">
        <v>109</v>
      </c>
      <c r="C53" s="123"/>
      <c r="D53" s="123"/>
      <c r="E53" s="123"/>
      <c r="F53" s="123"/>
      <c r="G53" s="123"/>
      <c r="H53" s="123"/>
      <c r="I53" s="123"/>
      <c r="J53" s="123"/>
      <c r="K53" s="82">
        <f>K16+K19+K38+K44+K41+K48+K52</f>
        <v>3172300</v>
      </c>
      <c r="L53" s="83">
        <f>ROUNDUP(K53/L56,2)</f>
        <v>329603.31</v>
      </c>
      <c r="M53" s="84"/>
    </row>
    <row r="54" spans="1:14" s="30" customFormat="1" ht="36.950000000000003" customHeight="1" x14ac:dyDescent="0.25">
      <c r="A54" s="52">
        <f t="shared" si="0"/>
        <v>52</v>
      </c>
      <c r="B54" s="123" t="s">
        <v>110</v>
      </c>
      <c r="C54" s="123"/>
      <c r="D54" s="123"/>
      <c r="E54" s="123"/>
      <c r="F54" s="123"/>
      <c r="G54" s="123"/>
      <c r="H54" s="123"/>
      <c r="I54" s="123"/>
      <c r="J54" s="123"/>
      <c r="K54" s="82">
        <f>SUM(K43,K39)</f>
        <v>540818</v>
      </c>
      <c r="L54" s="83">
        <f>ROUNDUP(K54/L56,2)</f>
        <v>56191.22</v>
      </c>
      <c r="M54" s="84"/>
    </row>
    <row r="55" spans="1:14" s="30" customFormat="1" ht="39.950000000000003" customHeight="1" x14ac:dyDescent="0.25">
      <c r="B55" s="53"/>
      <c r="C55" s="53"/>
      <c r="D55" s="53"/>
      <c r="E55" s="53"/>
      <c r="F55" s="53"/>
      <c r="G55" s="53"/>
      <c r="H55" s="53"/>
      <c r="I55" s="85" t="s">
        <v>111</v>
      </c>
      <c r="J55" s="86">
        <f>ROUNDUP(K53/10000,2)</f>
        <v>317.23</v>
      </c>
      <c r="K55" s="87">
        <f>ROUNDUP(K53/L55/1000000,4)</f>
        <v>0.437</v>
      </c>
      <c r="L55" s="88">
        <v>7.26</v>
      </c>
    </row>
    <row r="56" spans="1:14" s="30" customFormat="1" ht="39.950000000000003" customHeight="1" x14ac:dyDescent="0.25">
      <c r="G56" s="54"/>
      <c r="I56" s="85" t="s">
        <v>112</v>
      </c>
      <c r="J56" s="86">
        <f>J55</f>
        <v>317.23</v>
      </c>
      <c r="K56" s="89">
        <f>ROUNDUP(K53/L56/1000000,4)</f>
        <v>0.32969999999999999</v>
      </c>
      <c r="L56" s="90">
        <v>9.6245999999999992</v>
      </c>
    </row>
    <row r="57" spans="1:14" s="30" customFormat="1" ht="39.950000000000003" customHeight="1" x14ac:dyDescent="0.25">
      <c r="J57" s="34"/>
      <c r="K57" s="34"/>
      <c r="L57" s="35"/>
    </row>
    <row r="58" spans="1:14" s="30" customFormat="1" ht="39.950000000000003" customHeight="1" x14ac:dyDescent="0.25">
      <c r="E58" s="34"/>
      <c r="F58" s="34"/>
      <c r="G58" s="34"/>
      <c r="H58" s="34"/>
      <c r="J58" s="34"/>
      <c r="K58" s="34"/>
      <c r="L58" s="34"/>
    </row>
    <row r="59" spans="1:14" s="30" customFormat="1" ht="39.950000000000003" customHeight="1" x14ac:dyDescent="0.25">
      <c r="K59" s="34"/>
      <c r="L59" s="34"/>
    </row>
    <row r="60" spans="1:14" s="30" customFormat="1" ht="39.950000000000003" customHeight="1" x14ac:dyDescent="0.25">
      <c r="J60" s="34"/>
      <c r="K60" s="34"/>
      <c r="L60" s="35"/>
    </row>
    <row r="61" spans="1:14" s="30" customFormat="1" ht="39.950000000000003" customHeight="1" x14ac:dyDescent="0.25">
      <c r="J61" s="34"/>
      <c r="K61" s="34"/>
      <c r="L61" s="35"/>
    </row>
    <row r="62" spans="1:14" s="30" customFormat="1" ht="39.950000000000003" customHeight="1" x14ac:dyDescent="0.25">
      <c r="J62" s="34"/>
      <c r="K62" s="34"/>
      <c r="L62" s="35"/>
    </row>
    <row r="63" spans="1:14" s="30" customFormat="1" ht="39.950000000000003" customHeight="1" x14ac:dyDescent="0.25">
      <c r="J63" s="34"/>
      <c r="K63" s="34"/>
      <c r="L63" s="35"/>
    </row>
    <row r="64" spans="1:14" s="30" customFormat="1" ht="39.950000000000003" customHeight="1" x14ac:dyDescent="0.25">
      <c r="J64" s="34"/>
      <c r="K64" s="34"/>
      <c r="L64" s="35"/>
    </row>
    <row r="65" spans="10:12" s="30" customFormat="1" ht="39.950000000000003" customHeight="1" x14ac:dyDescent="0.25">
      <c r="J65" s="34"/>
      <c r="K65" s="34"/>
      <c r="L65" s="35"/>
    </row>
    <row r="66" spans="10:12" s="30" customFormat="1" ht="39.950000000000003" customHeight="1" x14ac:dyDescent="0.25">
      <c r="J66" s="34"/>
      <c r="K66" s="34"/>
      <c r="L66" s="35"/>
    </row>
    <row r="67" spans="10:12" s="30" customFormat="1" ht="39.950000000000003" customHeight="1" x14ac:dyDescent="0.25">
      <c r="J67" s="34"/>
      <c r="K67" s="34"/>
      <c r="L67" s="35"/>
    </row>
    <row r="68" spans="10:12" s="30" customFormat="1" ht="39.950000000000003" customHeight="1" x14ac:dyDescent="0.25">
      <c r="J68" s="34"/>
      <c r="K68" s="34"/>
      <c r="L68" s="35"/>
    </row>
  </sheetData>
  <mergeCells count="19">
    <mergeCell ref="K39:K40"/>
    <mergeCell ref="C41:I41"/>
    <mergeCell ref="C44:I44"/>
    <mergeCell ref="A1:H1"/>
    <mergeCell ref="I1:L1"/>
    <mergeCell ref="C16:I16"/>
    <mergeCell ref="C19:I19"/>
    <mergeCell ref="C38:I38"/>
    <mergeCell ref="B3:B16"/>
    <mergeCell ref="B17:B19"/>
    <mergeCell ref="B20:B38"/>
    <mergeCell ref="B53:J53"/>
    <mergeCell ref="B54:J54"/>
    <mergeCell ref="B45:B48"/>
    <mergeCell ref="B49:B52"/>
    <mergeCell ref="C39:C40"/>
    <mergeCell ref="I39:I40"/>
    <mergeCell ref="B39:B41"/>
    <mergeCell ref="B42:B44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5"/>
  <sheetViews>
    <sheetView workbookViewId="0"/>
  </sheetViews>
  <sheetFormatPr defaultColWidth="8.875" defaultRowHeight="15.75" customHeight="1" x14ac:dyDescent="0.25"/>
  <cols>
    <col min="2" max="2" width="16.125" style="21" customWidth="1"/>
    <col min="3" max="3" width="29.125" style="21" customWidth="1"/>
    <col min="4" max="4" width="12.625" style="21" customWidth="1"/>
  </cols>
  <sheetData>
    <row r="1" spans="1:6" ht="15.75" customHeight="1" x14ac:dyDescent="0.25">
      <c r="F1" s="21" t="s">
        <v>113</v>
      </c>
    </row>
    <row r="3" spans="1:6" ht="15.75" customHeight="1" x14ac:dyDescent="0.25">
      <c r="A3" s="22" t="s">
        <v>114</v>
      </c>
      <c r="B3" s="22" t="s">
        <v>115</v>
      </c>
      <c r="C3" s="22" t="s">
        <v>116</v>
      </c>
      <c r="D3" s="22" t="s">
        <v>117</v>
      </c>
    </row>
    <row r="4" spans="1:6" ht="15.75" customHeight="1" x14ac:dyDescent="0.25">
      <c r="A4" s="23">
        <v>1</v>
      </c>
      <c r="B4" s="138" t="s">
        <v>118</v>
      </c>
      <c r="C4" s="22" t="s">
        <v>119</v>
      </c>
      <c r="D4" s="23">
        <v>2</v>
      </c>
    </row>
    <row r="5" spans="1:6" ht="31.5" customHeight="1" x14ac:dyDescent="0.25">
      <c r="A5" s="23">
        <v>2</v>
      </c>
      <c r="B5" s="138"/>
      <c r="C5" s="24" t="s">
        <v>120</v>
      </c>
      <c r="D5" s="23">
        <v>3</v>
      </c>
    </row>
    <row r="7" spans="1:6" ht="15.75" customHeight="1" x14ac:dyDescent="0.25">
      <c r="A7" s="21" t="s">
        <v>121</v>
      </c>
    </row>
    <row r="8" spans="1:6" ht="15.75" customHeight="1" x14ac:dyDescent="0.25">
      <c r="A8" s="21" t="s">
        <v>122</v>
      </c>
    </row>
    <row r="9" spans="1:6" ht="15.75" customHeight="1" x14ac:dyDescent="0.25">
      <c r="A9" s="25"/>
    </row>
    <row r="10" spans="1:6" ht="15.75" customHeight="1" x14ac:dyDescent="0.25">
      <c r="A10" s="21" t="s">
        <v>123</v>
      </c>
    </row>
    <row r="11" spans="1:6" ht="15.75" customHeight="1" x14ac:dyDescent="0.25">
      <c r="A11" s="26" t="s">
        <v>124</v>
      </c>
    </row>
    <row r="12" spans="1:6" ht="15.75" customHeight="1" x14ac:dyDescent="0.25">
      <c r="A12" s="26" t="s">
        <v>125</v>
      </c>
    </row>
    <row r="13" spans="1:6" ht="15.75" customHeight="1" x14ac:dyDescent="0.25">
      <c r="A13" s="26" t="s">
        <v>126</v>
      </c>
    </row>
    <row r="14" spans="1:6" ht="15.75" customHeight="1" x14ac:dyDescent="0.25">
      <c r="A14" s="26" t="s">
        <v>127</v>
      </c>
    </row>
    <row r="15" spans="1:6" ht="15.75" customHeight="1" x14ac:dyDescent="0.25">
      <c r="A15" s="27" t="s">
        <v>128</v>
      </c>
    </row>
    <row r="16" spans="1:6" ht="15.75" customHeight="1" x14ac:dyDescent="0.25">
      <c r="A16" s="27" t="s">
        <v>129</v>
      </c>
    </row>
    <row r="17" spans="1:1" ht="15.75" customHeight="1" x14ac:dyDescent="0.25">
      <c r="A17" s="27" t="s">
        <v>130</v>
      </c>
    </row>
    <row r="18" spans="1:1" ht="15.75" customHeight="1" x14ac:dyDescent="0.25">
      <c r="A18" s="27" t="s">
        <v>131</v>
      </c>
    </row>
    <row r="19" spans="1:1" ht="15.75" customHeight="1" x14ac:dyDescent="0.25">
      <c r="A19" s="27" t="s">
        <v>132</v>
      </c>
    </row>
    <row r="20" spans="1:1" ht="15.75" customHeight="1" x14ac:dyDescent="0.25">
      <c r="A20" s="27" t="s">
        <v>133</v>
      </c>
    </row>
    <row r="21" spans="1:1" ht="15.75" customHeight="1" x14ac:dyDescent="0.25">
      <c r="A21" s="27" t="s">
        <v>134</v>
      </c>
    </row>
    <row r="22" spans="1:1" ht="15.75" customHeight="1" x14ac:dyDescent="0.25">
      <c r="A22" s="27" t="s">
        <v>135</v>
      </c>
    </row>
    <row r="23" spans="1:1" ht="15.75" customHeight="1" x14ac:dyDescent="0.25">
      <c r="A23" s="27" t="s">
        <v>136</v>
      </c>
    </row>
    <row r="24" spans="1:1" ht="15.75" customHeight="1" x14ac:dyDescent="0.25">
      <c r="A24" s="27" t="s">
        <v>137</v>
      </c>
    </row>
    <row r="25" spans="1:1" ht="15.75" customHeight="1" x14ac:dyDescent="0.25">
      <c r="A25" s="27" t="s">
        <v>138</v>
      </c>
    </row>
    <row r="26" spans="1:1" ht="15.75" customHeight="1" x14ac:dyDescent="0.25">
      <c r="A26" s="26" t="s">
        <v>139</v>
      </c>
    </row>
    <row r="27" spans="1:1" ht="15.75" customHeight="1" x14ac:dyDescent="0.25">
      <c r="A27" s="27" t="s">
        <v>140</v>
      </c>
    </row>
    <row r="28" spans="1:1" ht="15.75" customHeight="1" x14ac:dyDescent="0.25">
      <c r="A28" s="27" t="s">
        <v>141</v>
      </c>
    </row>
    <row r="29" spans="1:1" ht="15.75" customHeight="1" x14ac:dyDescent="0.25">
      <c r="A29" s="27" t="s">
        <v>142</v>
      </c>
    </row>
    <row r="30" spans="1:1" ht="15.75" customHeight="1" x14ac:dyDescent="0.25">
      <c r="A30" s="27" t="s">
        <v>143</v>
      </c>
    </row>
    <row r="31" spans="1:1" ht="15.75" customHeight="1" x14ac:dyDescent="0.25">
      <c r="A31" s="27" t="s">
        <v>144</v>
      </c>
    </row>
    <row r="32" spans="1:1" ht="15.75" customHeight="1" x14ac:dyDescent="0.25">
      <c r="A32" s="26" t="s">
        <v>145</v>
      </c>
    </row>
    <row r="33" spans="1:1" ht="15.75" customHeight="1" x14ac:dyDescent="0.25">
      <c r="A33" s="27" t="s">
        <v>146</v>
      </c>
    </row>
    <row r="34" spans="1:1" ht="15.75" customHeight="1" x14ac:dyDescent="0.25">
      <c r="A34" s="27" t="s">
        <v>147</v>
      </c>
    </row>
    <row r="35" spans="1:1" ht="15.75" customHeight="1" x14ac:dyDescent="0.25">
      <c r="A35" s="27" t="s">
        <v>148</v>
      </c>
    </row>
    <row r="36" spans="1:1" ht="15.75" customHeight="1" x14ac:dyDescent="0.25">
      <c r="A36" s="26" t="s">
        <v>149</v>
      </c>
    </row>
    <row r="37" spans="1:1" ht="15.75" customHeight="1" x14ac:dyDescent="0.25">
      <c r="A37" s="26" t="s">
        <v>150</v>
      </c>
    </row>
    <row r="38" spans="1:1" ht="15.75" customHeight="1" x14ac:dyDescent="0.25">
      <c r="A38" s="26" t="s">
        <v>151</v>
      </c>
    </row>
    <row r="39" spans="1:1" ht="15.75" customHeight="1" x14ac:dyDescent="0.25">
      <c r="A39" s="26" t="s">
        <v>152</v>
      </c>
    </row>
    <row r="40" spans="1:1" ht="15.75" customHeight="1" x14ac:dyDescent="0.25">
      <c r="A40" s="26" t="s">
        <v>153</v>
      </c>
    </row>
    <row r="41" spans="1:1" ht="15.75" customHeight="1" x14ac:dyDescent="0.25">
      <c r="A41" s="26" t="s">
        <v>154</v>
      </c>
    </row>
    <row r="42" spans="1:1" ht="15.75" customHeight="1" x14ac:dyDescent="0.25">
      <c r="A42" s="28"/>
    </row>
    <row r="43" spans="1:1" ht="15.75" customHeight="1" x14ac:dyDescent="0.25">
      <c r="A43" s="29" t="s">
        <v>155</v>
      </c>
    </row>
    <row r="44" spans="1:1" ht="15.75" customHeight="1" x14ac:dyDescent="0.25">
      <c r="A44" s="26" t="s">
        <v>156</v>
      </c>
    </row>
    <row r="45" spans="1:1" ht="15.75" customHeight="1" x14ac:dyDescent="0.25">
      <c r="A45" s="26" t="s">
        <v>157</v>
      </c>
    </row>
  </sheetData>
  <mergeCells count="1">
    <mergeCell ref="B4:B5"/>
  </mergeCells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Z13"/>
  <sheetViews>
    <sheetView workbookViewId="0"/>
  </sheetViews>
  <sheetFormatPr defaultColWidth="10.625" defaultRowHeight="30" customHeight="1" x14ac:dyDescent="0.25"/>
  <cols>
    <col min="1" max="2" width="10.625" style="1"/>
    <col min="3" max="3" width="40.625" style="1" customWidth="1"/>
    <col min="4" max="4" width="5.625" style="1" customWidth="1"/>
    <col min="5" max="52" width="3.125" style="1" customWidth="1"/>
  </cols>
  <sheetData>
    <row r="2" spans="3:52" ht="30" customHeight="1" x14ac:dyDescent="0.25">
      <c r="C2" s="139" t="s">
        <v>158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</row>
    <row r="3" spans="3:52" ht="30" customHeight="1" x14ac:dyDescent="0.25">
      <c r="C3" s="2" t="s">
        <v>159</v>
      </c>
      <c r="D3" s="3" t="s">
        <v>160</v>
      </c>
      <c r="E3" s="140">
        <v>1</v>
      </c>
      <c r="F3" s="140"/>
      <c r="G3" s="140"/>
      <c r="H3" s="140"/>
      <c r="I3" s="140">
        <v>2</v>
      </c>
      <c r="J3" s="140"/>
      <c r="K3" s="140"/>
      <c r="L3" s="140"/>
      <c r="M3" s="140">
        <v>3</v>
      </c>
      <c r="N3" s="140"/>
      <c r="O3" s="140"/>
      <c r="P3" s="140"/>
      <c r="Q3" s="140">
        <v>4</v>
      </c>
      <c r="R3" s="140"/>
      <c r="S3" s="140"/>
      <c r="T3" s="140"/>
      <c r="U3" s="140">
        <v>5</v>
      </c>
      <c r="V3" s="140"/>
      <c r="W3" s="140"/>
      <c r="X3" s="140"/>
      <c r="Y3" s="140">
        <v>6</v>
      </c>
      <c r="Z3" s="140"/>
      <c r="AA3" s="140"/>
      <c r="AB3" s="140"/>
      <c r="AC3" s="140">
        <v>7</v>
      </c>
      <c r="AD3" s="140"/>
      <c r="AE3" s="140"/>
      <c r="AF3" s="140"/>
      <c r="AG3" s="140">
        <v>8</v>
      </c>
      <c r="AH3" s="140"/>
      <c r="AI3" s="140"/>
      <c r="AJ3" s="140"/>
      <c r="AK3" s="140">
        <v>9</v>
      </c>
      <c r="AL3" s="140"/>
      <c r="AM3" s="140"/>
      <c r="AN3" s="140"/>
      <c r="AO3" s="140">
        <v>10</v>
      </c>
      <c r="AP3" s="140"/>
      <c r="AQ3" s="140"/>
      <c r="AR3" s="140"/>
      <c r="AS3" s="141">
        <v>11</v>
      </c>
      <c r="AT3" s="142"/>
      <c r="AU3" s="142"/>
      <c r="AV3" s="143"/>
      <c r="AW3" s="141">
        <v>12</v>
      </c>
      <c r="AX3" s="142"/>
      <c r="AY3" s="142"/>
      <c r="AZ3" s="143"/>
    </row>
    <row r="4" spans="3:52" ht="30" customHeight="1" x14ac:dyDescent="0.25">
      <c r="C4" s="2" t="s">
        <v>161</v>
      </c>
      <c r="D4" s="3" t="s">
        <v>162</v>
      </c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3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3">
        <v>29</v>
      </c>
      <c r="AH4" s="3">
        <v>30</v>
      </c>
      <c r="AI4" s="3">
        <v>31</v>
      </c>
      <c r="AJ4" s="3">
        <v>32</v>
      </c>
      <c r="AK4" s="3">
        <v>33</v>
      </c>
      <c r="AL4" s="3">
        <v>34</v>
      </c>
      <c r="AM4" s="3">
        <v>35</v>
      </c>
      <c r="AN4" s="3">
        <v>36</v>
      </c>
      <c r="AO4" s="3">
        <v>37</v>
      </c>
      <c r="AP4" s="3">
        <v>38</v>
      </c>
      <c r="AQ4" s="3">
        <v>39</v>
      </c>
      <c r="AR4" s="3">
        <v>40</v>
      </c>
      <c r="AS4" s="18">
        <v>41</v>
      </c>
      <c r="AT4" s="18">
        <v>42</v>
      </c>
      <c r="AU4" s="18">
        <v>43</v>
      </c>
      <c r="AV4" s="18">
        <v>44</v>
      </c>
      <c r="AW4" s="18">
        <v>45</v>
      </c>
      <c r="AX4" s="18">
        <v>46</v>
      </c>
      <c r="AY4" s="18">
        <v>47</v>
      </c>
      <c r="AZ4" s="18">
        <v>48</v>
      </c>
    </row>
    <row r="5" spans="3:52" ht="30" customHeight="1" x14ac:dyDescent="0.25">
      <c r="C5" s="4" t="s">
        <v>163</v>
      </c>
      <c r="D5" s="5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8"/>
      <c r="AS5" s="6"/>
      <c r="AT5" s="6"/>
      <c r="AU5" s="6"/>
      <c r="AV5" s="6"/>
      <c r="AW5" s="6"/>
      <c r="AX5" s="6"/>
      <c r="AY5" s="6"/>
      <c r="AZ5" s="6"/>
    </row>
    <row r="6" spans="3:52" ht="30" customHeight="1" x14ac:dyDescent="0.25">
      <c r="C6" s="4" t="s">
        <v>164</v>
      </c>
      <c r="D6" s="6"/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  <c r="O6" s="7">
        <v>11</v>
      </c>
      <c r="P6" s="7">
        <v>12</v>
      </c>
      <c r="Q6" s="9">
        <v>13</v>
      </c>
      <c r="R6" s="9">
        <v>14</v>
      </c>
      <c r="S6" s="9">
        <v>15</v>
      </c>
      <c r="T6" s="9">
        <v>16</v>
      </c>
      <c r="U6" s="9">
        <v>17</v>
      </c>
      <c r="V6" s="9">
        <v>18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19"/>
      <c r="AS6" s="6"/>
      <c r="AT6" s="6"/>
      <c r="AU6" s="6"/>
      <c r="AV6" s="6"/>
      <c r="AW6" s="6"/>
      <c r="AX6" s="6"/>
      <c r="AY6" s="6"/>
      <c r="AZ6" s="6"/>
    </row>
    <row r="7" spans="3:52" ht="30" customHeight="1" x14ac:dyDescent="0.25">
      <c r="C7" s="4" t="s">
        <v>165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6"/>
      <c r="R7" s="6"/>
      <c r="S7" s="6"/>
      <c r="T7" s="6"/>
      <c r="U7" s="10">
        <v>1</v>
      </c>
      <c r="V7" s="11">
        <v>2</v>
      </c>
      <c r="W7" s="11">
        <v>3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8"/>
      <c r="AV7" s="6"/>
      <c r="AW7" s="6"/>
      <c r="AX7" s="6"/>
      <c r="AY7" s="6"/>
      <c r="AZ7" s="6"/>
    </row>
    <row r="8" spans="3:52" ht="30" customHeight="1" x14ac:dyDescent="0.25">
      <c r="C8" s="4" t="s">
        <v>166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6"/>
      <c r="R8" s="6"/>
      <c r="S8" s="6"/>
      <c r="T8" s="6"/>
      <c r="U8" s="12"/>
      <c r="V8" s="6"/>
      <c r="W8" s="6"/>
      <c r="X8" s="13">
        <v>1</v>
      </c>
      <c r="Y8" s="13">
        <v>2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8"/>
      <c r="AV8" s="6"/>
      <c r="AW8" s="6"/>
      <c r="AX8" s="6"/>
      <c r="AY8" s="6"/>
      <c r="AZ8" s="6"/>
    </row>
    <row r="9" spans="3:52" ht="30" customHeight="1" x14ac:dyDescent="0.25">
      <c r="C9" s="4" t="s">
        <v>167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/>
      <c r="Q9" s="6"/>
      <c r="R9" s="6"/>
      <c r="S9" s="6"/>
      <c r="T9" s="6"/>
      <c r="U9" s="12"/>
      <c r="V9" s="6"/>
      <c r="W9" s="6"/>
      <c r="X9" s="6"/>
      <c r="Y9" s="14">
        <v>1</v>
      </c>
      <c r="Z9" s="14">
        <v>2</v>
      </c>
      <c r="AA9" s="14">
        <v>3</v>
      </c>
      <c r="AB9" s="14">
        <v>4</v>
      </c>
      <c r="AC9" s="14">
        <v>5</v>
      </c>
      <c r="AD9" s="14">
        <v>6</v>
      </c>
      <c r="AE9" s="14">
        <v>7</v>
      </c>
      <c r="AF9" s="14">
        <v>8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8"/>
      <c r="AV9" s="6"/>
      <c r="AW9" s="6"/>
      <c r="AX9" s="6"/>
      <c r="AY9" s="6"/>
      <c r="AZ9" s="6"/>
    </row>
    <row r="10" spans="3:52" ht="30" customHeight="1" x14ac:dyDescent="0.25">
      <c r="C10" s="4" t="s">
        <v>168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6"/>
      <c r="R10" s="6"/>
      <c r="S10" s="6"/>
      <c r="T10" s="6"/>
      <c r="U10" s="12"/>
      <c r="V10" s="6"/>
      <c r="W10" s="6"/>
      <c r="X10" s="6"/>
      <c r="Y10" s="6"/>
      <c r="Z10" s="6"/>
      <c r="AA10" s="6"/>
      <c r="AB10" s="6"/>
      <c r="AC10" s="6"/>
      <c r="AD10" s="6"/>
      <c r="AE10" s="5">
        <v>1</v>
      </c>
      <c r="AF10" s="5">
        <v>2</v>
      </c>
      <c r="AG10" s="5">
        <v>3</v>
      </c>
      <c r="AH10" s="5">
        <v>4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8"/>
      <c r="AV10" s="6"/>
      <c r="AW10" s="6"/>
      <c r="AX10" s="6"/>
      <c r="AY10" s="6"/>
      <c r="AZ10" s="6"/>
    </row>
    <row r="11" spans="3:52" ht="30" customHeight="1" x14ac:dyDescent="0.25">
      <c r="C11" s="4" t="s">
        <v>169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6"/>
      <c r="R11" s="6"/>
      <c r="S11" s="6"/>
      <c r="T11" s="6"/>
      <c r="U11" s="12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15">
        <v>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8"/>
      <c r="AV11" s="6"/>
      <c r="AW11" s="6"/>
      <c r="AX11" s="6"/>
      <c r="AY11" s="6"/>
      <c r="AZ11" s="6"/>
    </row>
    <row r="12" spans="3:52" ht="30" customHeight="1" x14ac:dyDescent="0.25">
      <c r="C12" s="4" t="s">
        <v>170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6"/>
      <c r="R12" s="6"/>
      <c r="S12" s="6"/>
      <c r="T12" s="6"/>
      <c r="U12" s="12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16">
        <v>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8"/>
      <c r="AV12" s="6"/>
      <c r="AW12" s="6"/>
      <c r="AX12" s="6"/>
      <c r="AY12" s="6"/>
      <c r="AZ12" s="6"/>
    </row>
    <row r="13" spans="3:52" ht="30" customHeight="1" x14ac:dyDescent="0.25">
      <c r="C13" s="4" t="s">
        <v>171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6"/>
      <c r="R13" s="6"/>
      <c r="S13" s="6"/>
      <c r="T13" s="6"/>
      <c r="U13" s="12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17">
        <v>1</v>
      </c>
      <c r="AK13" s="17">
        <v>2</v>
      </c>
      <c r="AL13" s="17">
        <v>3</v>
      </c>
      <c r="AM13" s="17">
        <v>4</v>
      </c>
      <c r="AN13" s="17">
        <v>5</v>
      </c>
      <c r="AO13" s="17">
        <v>6</v>
      </c>
      <c r="AP13" s="17">
        <v>7</v>
      </c>
      <c r="AQ13" s="17">
        <v>8</v>
      </c>
      <c r="AR13" s="17">
        <v>9</v>
      </c>
      <c r="AS13" s="17">
        <v>10</v>
      </c>
      <c r="AT13" s="17">
        <v>11</v>
      </c>
      <c r="AU13" s="20">
        <v>12</v>
      </c>
      <c r="AV13" s="6"/>
      <c r="AW13" s="6"/>
      <c r="AX13" s="6"/>
      <c r="AY13" s="6"/>
      <c r="AZ13" s="6"/>
    </row>
  </sheetData>
  <mergeCells count="13">
    <mergeCell ref="C2:AZ2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设备投资概算评估 (集团内部-Sandwich)</vt:lpstr>
      <vt:lpstr>反馈认证费用</vt:lpstr>
      <vt:lpstr>周期时间 (集团内部-Sandwich)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Ziliang Zhao0343</cp:lastModifiedBy>
  <dcterms:created xsi:type="dcterms:W3CDTF">2006-09-16T00:00:00Z</dcterms:created>
  <dcterms:modified xsi:type="dcterms:W3CDTF">2026-10-16T08:33:32Z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69C0EFBAB47B4BA3B4E79CA652E89439_12</vt:lpwstr>
  </property>
  <property fmtid="{D5CDD505-2E9C-101B-9397-08002B2CF9AE}" pid="3" name="KSOProductBuildVer">
    <vt:lpwstr>1033-12.2.0.22549</vt:lpwstr>
  </property>
</Properties>
</file>