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activeTab="2" xr2:uid="{752BAC88-3D22-6345-9E5D-6A586CA68B77}"/>
  </bookViews>
  <sheets>
    <sheet name="设备投资概算评估 (集团内部-Sandwich)" sheetId="1" r:id="rId1" state="hidden"/>
    <sheet name="反馈认证费用" sheetId="2" r:id="rId2" state="hidden"/>
    <sheet name="Timeline " sheetId="3" r:id="rId3"/>
    <sheet name="Timeline (old)" sheetId="4" r:id="rId4"/>
  </sheets>
  <calcPr calcId="0" refMode="R1C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AS12" authorId="0">
      <text>
        <r>
          <rPr>
            <rFont val="宋体"/>
            <b/>
            <color rgb="FF000000"/>
            <sz val="9.0"/>
          </rPr>
          <t xml:space="preserve">Shaofeng Gao0169:</t>
        </r>
        <r>
          <rPr>
            <rFont val="宋体"/>
            <color rgb="FF000000"/>
            <sz val="9.0"/>
          </rPr>
          <t xml:space="preserve">
update</t>
        </r>
        <r>
          <rPr>
            <rFont val="等线"/>
            <color rgb="FF000000"/>
            <sz val="12.0"/>
          </rPr>
          <t xml:space="preserve">
</t>
        </r>
        <r>
          <rPr>
            <rFont val="等线"/>
            <color rgb="FF000000"/>
            <sz val="12.0"/>
          </rPr>
          <t xml:space="preserve">  - 高少锋（Shaofeng Gao）</t>
        </r>
        <r>
          <t xml:space="preserve">
</t>
        </r>
        <r>
          <t xml:space="preserve">  - 高少锋（Shaofeng Gao）</t>
        </r>
      </text>
    </comment>
    <comment ref="AR23" authorId="0">
      <text>
        <r>
          <rPr>
            <rFont val="宋体"/>
            <b/>
            <color rgb="FF000000"/>
            <sz val="9.0"/>
          </rPr>
          <t xml:space="preserve">Shaofeng Gao0169:</t>
        </r>
        <r>
          <rPr>
            <rFont val="宋体"/>
            <color rgb="FF000000"/>
            <sz val="9.0"/>
          </rPr>
          <t xml:space="preserve">
update</t>
        </r>
        <r>
          <rPr>
            <rFont val="等线"/>
            <color rgb="FF000000"/>
            <sz val="12.0"/>
          </rPr>
          <t xml:space="preserve">
</t>
        </r>
        <r>
          <rPr>
            <rFont val="等线"/>
            <color rgb="FF000000"/>
            <sz val="12.0"/>
          </rPr>
          <t xml:space="preserve">  - 高少锋（Shaofeng Gao）</t>
        </r>
        <r>
          <t xml:space="preserve">
</t>
        </r>
        <r>
          <t xml:space="preserve">  - 高少锋（Shaofeng Gao）</t>
        </r>
      </text>
    </comment>
    <comment ref="AS11" authorId="0">
      <text>
        <r>
          <rPr>
            <rFont val="宋体"/>
            <b/>
            <color rgb="FF000000"/>
            <sz val="9.0"/>
          </rPr>
          <t xml:space="preserve">Shaofeng Gao0169:</t>
        </r>
        <r>
          <rPr>
            <rFont val="宋体"/>
            <color rgb="FF000000"/>
            <sz val="9.0"/>
          </rPr>
          <t xml:space="preserve">
update</t>
        </r>
        <r>
          <rPr>
            <rFont val="等线"/>
            <color rgb="FF000000"/>
            <sz val="12.0"/>
          </rPr>
          <t xml:space="preserve">
</t>
        </r>
        <r>
          <rPr>
            <rFont val="等线"/>
            <color rgb="FF000000"/>
            <sz val="12.0"/>
          </rPr>
          <t xml:space="preserve">  - 高少锋（Shaofeng Gao）</t>
        </r>
        <r>
          <t xml:space="preserve">
</t>
        </r>
        <r>
          <t xml:space="preserve">  - 高少锋（Shaofeng Gao）</t>
        </r>
      </text>
    </comment>
    <comment ref="AR16" authorId="0">
      <text>
        <r>
          <rPr>
            <rFont val="宋体"/>
            <b/>
            <color rgb="FF000000"/>
            <sz val="9.0"/>
          </rPr>
          <t xml:space="preserve">Shaofeng Gao0169:</t>
        </r>
        <r>
          <rPr>
            <rFont val="宋体"/>
            <color rgb="FF000000"/>
            <sz val="9.0"/>
          </rPr>
          <t xml:space="preserve">
update</t>
        </r>
        <r>
          <rPr>
            <rFont val="等线"/>
            <color rgb="FF000000"/>
            <sz val="12.0"/>
          </rPr>
          <t xml:space="preserve">
</t>
        </r>
        <r>
          <rPr>
            <rFont val="等线"/>
            <color rgb="FF000000"/>
            <sz val="12.0"/>
          </rPr>
          <t xml:space="preserve">  - 高少锋（Shaofeng Gao）</t>
        </r>
        <r>
          <t xml:space="preserve">
</t>
        </r>
        <r>
          <t xml:space="preserve">  - 高少锋（Shaofeng Gao）</t>
        </r>
      </text>
    </comment>
    <comment ref="AW39" authorId="0">
      <text>
        <r>
          <rPr>
            <rFont val="宋体"/>
            <b/>
            <color rgb="FF000000"/>
            <sz val="9.0"/>
          </rPr>
          <t xml:space="preserve">Shaofeng Gao0169:</t>
        </r>
        <r>
          <rPr>
            <rFont val="宋体"/>
            <color rgb="FF000000"/>
            <sz val="9.0"/>
          </rPr>
          <t xml:space="preserve">
update</t>
        </r>
        <r>
          <rPr>
            <rFont val="等线"/>
            <color rgb="FF000000"/>
            <sz val="12.0"/>
          </rPr>
          <t xml:space="preserve">
</t>
        </r>
        <r>
          <rPr>
            <rFont val="等线"/>
            <color rgb="FF000000"/>
            <sz val="12.0"/>
          </rPr>
          <t xml:space="preserve">  - 高少锋（Shaofeng Gao）</t>
        </r>
        <r>
          <t xml:space="preserve">
</t>
        </r>
        <r>
          <t xml:space="preserve">  - 高少锋（Shaofeng Gao）</t>
        </r>
      </text>
    </comment>
    <comment ref="C24" authorId="0">
      <text>
        <r>
          <rPr>
            <rFont val="宋体"/>
            <b/>
            <sz val="9.0"/>
          </rPr>
          <t xml:space="preserve">Shaofeng Gao0169:</t>
        </r>
        <r>
          <rPr>
            <rFont val="宋体"/>
            <sz val="9.0"/>
          </rPr>
          <t xml:space="preserve">
需要采购确定厂家前发Keith</t>
        </r>
        <r>
          <t xml:space="preserve">
</t>
        </r>
        <r>
          <t xml:space="preserve">  - 高少锋（Shaofeng Gao）</t>
        </r>
      </text>
    </comment>
    <comment ref="AU9" authorId="0">
      <text>
        <r>
          <rPr>
            <rFont val="宋体"/>
            <b/>
            <sz val="9.0"/>
          </rPr>
          <t xml:space="preserve">Shaofeng Gao0169:</t>
        </r>
        <r>
          <rPr>
            <rFont val="宋体"/>
            <sz val="9.0"/>
          </rPr>
          <t xml:space="preserve">
计划6.18发出</t>
        </r>
        <r>
          <t xml:space="preserve">
</t>
        </r>
        <r>
          <t xml:space="preserve">  - 高少锋（Shaofeng Gao）</t>
        </r>
      </text>
    </comment>
    <comment ref="D40" authorId="0">
      <text>
        <r>
          <rPr>
            <rFont val="宋体"/>
            <b/>
            <sz val="9.0"/>
          </rPr>
          <t xml:space="preserve">Shaofeng Gao0169:</t>
        </r>
        <r>
          <rPr>
            <rFont val="宋体"/>
            <sz val="9.0"/>
          </rPr>
          <t xml:space="preserve">
需要工程部支持。</t>
        </r>
        <r>
          <t xml:space="preserve">
</t>
        </r>
        <r>
          <t xml:space="preserve">  - 高少锋（Shaofeng Gao）</t>
        </r>
      </text>
    </comment>
    <comment ref="AW25" authorId="0">
      <text>
        <r>
          <rPr>
            <rFont val="宋体"/>
            <b/>
            <color rgb="FF000000"/>
            <sz val="9.0"/>
          </rPr>
          <t xml:space="preserve">Shaofeng Gao0169:</t>
        </r>
        <r>
          <rPr>
            <rFont val="宋体"/>
            <color rgb="FF000000"/>
            <sz val="9.0"/>
          </rPr>
          <t xml:space="preserve">
update</t>
        </r>
        <r>
          <rPr>
            <rFont val="等线"/>
            <color rgb="FF000000"/>
            <sz val="12.0"/>
          </rPr>
          <t xml:space="preserve">
</t>
        </r>
        <r>
          <rPr>
            <rFont val="等线"/>
            <color rgb="FF000000"/>
            <sz val="12.0"/>
          </rPr>
          <t xml:space="preserve">  - 高少锋（Shaofeng Gao）</t>
        </r>
        <r>
          <t xml:space="preserve">
</t>
        </r>
        <r>
          <t xml:space="preserve">  - 高少锋（Shaofeng Gao）</t>
        </r>
      </text>
    </comment>
    <comment ref="AU16" authorId="0">
      <text>
        <r>
          <rPr>
            <rFont val="宋体"/>
            <b/>
            <sz val="9.0"/>
          </rPr>
          <t xml:space="preserve">Shaofeng Gao0169:</t>
        </r>
        <r>
          <rPr>
            <rFont val="宋体"/>
            <sz val="9.0"/>
          </rPr>
          <t xml:space="preserve">
计划6.18发出</t>
        </r>
        <r>
          <t xml:space="preserve">
</t>
        </r>
        <r>
          <t xml:space="preserve">  - 高少锋（Shaofeng Gao）</t>
        </r>
      </text>
    </comment>
    <comment ref="AT19" authorId="0">
      <text>
        <r>
          <rPr>
            <rFont val="宋体"/>
            <b/>
            <sz val="9.0"/>
          </rPr>
          <t xml:space="preserve">Shaofeng Gao0169:</t>
        </r>
        <r>
          <rPr>
            <rFont val="宋体"/>
            <sz val="9.0"/>
          </rPr>
          <t xml:space="preserve">
6.11发出</t>
        </r>
        <r>
          <t xml:space="preserve">
</t>
        </r>
        <r>
          <t xml:space="preserve">  - 高少锋（Shaofeng Gao）</t>
        </r>
      </text>
    </comment>
    <comment ref="AS16" authorId="0">
      <text>
        <r>
          <rPr>
            <rFont val="宋体"/>
            <b/>
            <color rgb="FF000000"/>
            <sz val="9.0"/>
          </rPr>
          <t xml:space="preserve">Shaofeng Gao0169:</t>
        </r>
        <r>
          <rPr>
            <rFont val="宋体"/>
            <color rgb="FF000000"/>
            <sz val="9.0"/>
          </rPr>
          <t xml:space="preserve">
update</t>
        </r>
        <r>
          <rPr>
            <rFont val="等线"/>
            <color rgb="FF000000"/>
            <sz val="12.0"/>
          </rPr>
          <t xml:space="preserve">
</t>
        </r>
        <r>
          <rPr>
            <rFont val="等线"/>
            <color rgb="FF000000"/>
            <sz val="12.0"/>
          </rPr>
          <t xml:space="preserve">  - 高少锋（Shaofeng Gao）</t>
        </r>
        <r>
          <t xml:space="preserve">
</t>
        </r>
        <r>
          <t xml:space="preserve">  - 高少锋（Shaofeng Gao）</t>
        </r>
      </text>
    </comment>
    <comment ref="AT36" authorId="0">
      <text>
        <r>
          <rPr>
            <rFont val="宋体"/>
            <b/>
            <color rgb="FF000000"/>
            <sz val="9.0"/>
          </rPr>
          <t xml:space="preserve">Shaofeng Gao0169:</t>
        </r>
        <r>
          <rPr>
            <rFont val="宋体"/>
            <color rgb="FF000000"/>
            <sz val="9.0"/>
          </rPr>
          <t xml:space="preserve">
update</t>
        </r>
        <r>
          <rPr>
            <rFont val="等线"/>
            <color rgb="FF000000"/>
            <sz val="12.0"/>
          </rPr>
          <t xml:space="preserve">
</t>
        </r>
        <r>
          <rPr>
            <rFont val="等线"/>
            <color rgb="FF000000"/>
            <sz val="12.0"/>
          </rPr>
          <t xml:space="preserve">  - 高少锋（Shaofeng Gao）</t>
        </r>
        <r>
          <t xml:space="preserve">
</t>
        </r>
        <r>
          <t xml:space="preserve">  - 高少锋（Shaofeng Gao）</t>
        </r>
      </text>
    </comment>
    <comment ref="AU11" authorId="0">
      <text>
        <r>
          <rPr>
            <rFont val="宋体"/>
            <b/>
            <sz val="9.0"/>
          </rPr>
          <t xml:space="preserve">Shaofeng Gao0169:</t>
        </r>
        <r>
          <rPr>
            <rFont val="宋体"/>
            <sz val="9.0"/>
          </rPr>
          <t xml:space="preserve">
计划6.18发出</t>
        </r>
        <r>
          <t xml:space="preserve">
</t>
        </r>
        <r>
          <t xml:space="preserve">  - 高少锋（Shaofeng Gao）</t>
        </r>
      </text>
    </comment>
    <comment ref="AT8" authorId="0">
      <text>
        <r>
          <rPr>
            <rFont val="宋体"/>
            <b/>
            <sz val="9.0"/>
          </rPr>
          <t xml:space="preserve">Shaofeng Gao0169:</t>
        </r>
        <r>
          <rPr>
            <rFont val="宋体"/>
            <sz val="9.0"/>
          </rPr>
          <t xml:space="preserve">
6.11发出</t>
        </r>
        <r>
          <t xml:space="preserve">
</t>
        </r>
        <r>
          <t xml:space="preserve">  - 高少锋（Shaofeng Gao）</t>
        </r>
      </text>
    </comment>
    <comment ref="BA43" authorId="0">
      <text>
        <r>
          <rPr>
            <rFont val="宋体"/>
            <b/>
            <sz val="9.0"/>
          </rPr>
          <t xml:space="preserve">Shaofeng Gao0169:</t>
        </r>
        <r>
          <rPr>
            <rFont val="宋体"/>
            <sz val="9.0"/>
          </rPr>
          <t xml:space="preserve">
CE厂家介入点</t>
        </r>
        <r>
          <t xml:space="preserve">
</t>
        </r>
        <r>
          <t xml:space="preserve">  - 高少锋（Shaofeng Gao）</t>
        </r>
      </text>
    </comment>
  </commentList>
</comments>
</file>

<file path=xl/sharedStrings.xml><?xml version="1.0" encoding="utf-8"?>
<sst xmlns="http://schemas.openxmlformats.org/spreadsheetml/2006/main">
  <si>
    <t>连续生产设备清单
 Flow Production Equipment List</t>
  </si>
  <si>
    <t>投资明细
Investment details</t>
  </si>
  <si>
    <t>序号
No.</t>
  </si>
  <si>
    <t>类别
Classification</t>
  </si>
  <si>
    <t>设备
Equipment</t>
  </si>
  <si>
    <t>规格型号
Specifications &amp; Models</t>
  </si>
  <si>
    <t>数量
Number</t>
  </si>
  <si>
    <t>单位
Unit</t>
  </si>
  <si>
    <t>用途
Use</t>
  </si>
  <si>
    <t>备注
Notes</t>
  </si>
  <si>
    <t>设备单价
Unit price</t>
  </si>
  <si>
    <t>认证
Certification</t>
  </si>
  <si>
    <t>合计费用
Total cost</t>
  </si>
  <si>
    <t>说明</t>
  </si>
  <si>
    <t>连续主设备
Continuous reaction main equipment</t>
  </si>
  <si>
    <t>原料缓冲罐
Buffer Supply Tank</t>
  </si>
  <si>
    <r>
      <rPr>
        <color rgb="FF000000"/>
        <rFont val="微软雅黑"/>
        <sz val="10"/>
      </rPr>
      <t xml:space="preserve">立式储罐，体积：</t>
    </r>
    <r>
      <rPr>
        <color rgb="FF0070C0"/>
        <rFont val="微软雅黑"/>
        <sz val="10"/>
      </rPr>
      <t xml:space="preserve">220L</t>
    </r>
    <r>
      <rPr>
        <color rgb="FF000000"/>
        <rFont val="微软雅黑"/>
        <sz val="10"/>
      </rPr>
      <t xml:space="preserve">，与物料接触材质：316L，工作压力：常压
Vertical storage tank, volume: </t>
    </r>
    <r>
      <rPr>
        <color rgb="FF0070C0"/>
        <rFont val="微软雅黑"/>
        <sz val="10"/>
      </rPr>
      <t xml:space="preserve">220</t>
    </r>
    <r>
      <rPr>
        <color rgb="FF000000"/>
        <rFont val="微软雅黑"/>
        <sz val="10"/>
      </rPr>
      <t xml:space="preserve">L, material in contact with material: 316L, working pressure: atmospheric pressure</t>
    </r>
  </si>
  <si>
    <t>台</t>
  </si>
  <si>
    <t>原料缓冲
Raw material buffering</t>
  </si>
  <si>
    <t>N/A</t>
  </si>
  <si>
    <t>供应商报价</t>
  </si>
  <si>
    <r>
      <rPr>
        <color rgb="FF000000"/>
        <rFont val="微软雅黑"/>
        <sz val="10"/>
      </rPr>
      <t xml:space="preserve">立式储罐，体积：</t>
    </r>
    <r>
      <rPr>
        <color rgb="FF0070C0"/>
        <rFont val="微软雅黑"/>
        <sz val="10"/>
      </rPr>
      <t xml:space="preserve">220L</t>
    </r>
    <r>
      <rPr>
        <color rgb="FF000000"/>
        <rFont val="微软雅黑"/>
        <sz val="10"/>
      </rPr>
      <t xml:space="preserve">，与物料接触材质：316L，工作压力：常压
Vertical storage tank, volume: </t>
    </r>
    <r>
      <rPr>
        <color rgb="FF0070C0"/>
        <rFont val="微软雅黑"/>
        <sz val="10"/>
      </rPr>
      <t xml:space="preserve">220L</t>
    </r>
    <r>
      <rPr>
        <color rgb="FF000000"/>
        <rFont val="微软雅黑"/>
        <sz val="10"/>
      </rPr>
      <t xml:space="preserve">, material in contact with material: 316L, working pressure: atmospheric pressure</t>
    </r>
  </si>
  <si>
    <t>氢气缓冲罐
H2 Buffer Tank</t>
  </si>
  <si>
    <t>立式储罐，体积：10L，与物料接触材质：316L，工作压力：6MPa
Vertical storage tank, volume: 10L, material in contact with material: 316L, working pressure: 6MPa</t>
  </si>
  <si>
    <t>氢气缓冲
Hydrogen buffering</t>
  </si>
  <si>
    <t>反应柱01
Continuous Reactor
 Column 01</t>
  </si>
  <si>
    <r>
      <rPr>
        <color rgb="FF000000"/>
        <rFont val="微软雅黑"/>
        <sz val="10"/>
      </rPr>
      <t xml:space="preserve">立式反应柱，体积</t>
    </r>
    <r>
      <rPr>
        <color rgb="FF0070C0"/>
        <rFont val="微软雅黑"/>
        <sz val="10"/>
      </rPr>
      <t xml:space="preserve">5.1</t>
    </r>
    <r>
      <rPr>
        <color rgb="FF000000"/>
        <rFont val="微软雅黑"/>
        <sz val="10"/>
      </rPr>
      <t xml:space="preserve">L，换热面积：</t>
    </r>
    <r>
      <rPr>
        <color rgb="FF0070C0"/>
        <rFont val="微软雅黑"/>
        <sz val="10"/>
      </rPr>
      <t xml:space="preserve">0.27</t>
    </r>
    <r>
      <rPr>
        <color rgb="FF000000"/>
        <rFont val="微软雅黑"/>
        <sz val="10"/>
      </rPr>
      <t xml:space="preserve">㎡，与物料接触材质：316L
Vertical reaction column, volume </t>
    </r>
    <r>
      <rPr>
        <color rgb="FF0070C0"/>
        <rFont val="微软雅黑"/>
        <sz val="10"/>
      </rPr>
      <t xml:space="preserve">5.1</t>
    </r>
    <r>
      <rPr>
        <color rgb="FF000000"/>
        <rFont val="微软雅黑"/>
        <sz val="10"/>
      </rPr>
      <t xml:space="preserve">L, heat exchange area: </t>
    </r>
    <r>
      <rPr>
        <color rgb="FF0070C0"/>
        <rFont val="微软雅黑"/>
        <sz val="10"/>
      </rPr>
      <t xml:space="preserve">0.27</t>
    </r>
    <r>
      <rPr>
        <color rgb="FF000000"/>
        <rFont val="微软雅黑"/>
        <sz val="10"/>
      </rPr>
      <t xml:space="preserve"> ㎡, material in contact with material: 316L</t>
    </r>
  </si>
  <si>
    <t>原料反应
Raw material reaction</t>
  </si>
  <si>
    <t>DN80</t>
  </si>
  <si>
    <t>反应柱02
Continuous Reactor
 Column 02</t>
  </si>
  <si>
    <r>
      <rPr>
        <color rgb="FF000000"/>
        <rFont val="微软雅黑"/>
        <sz val="10"/>
      </rPr>
      <t xml:space="preserve">立式反应柱，体积</t>
    </r>
    <r>
      <rPr>
        <color rgb="FF0070C0"/>
        <rFont val="微软雅黑"/>
        <sz val="10"/>
      </rPr>
      <t xml:space="preserve">3.5</t>
    </r>
    <r>
      <rPr>
        <color rgb="FF000000"/>
        <rFont val="微软雅黑"/>
        <sz val="10"/>
      </rPr>
      <t xml:space="preserve">L，换热面积：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㎡，与物料接触材质：316L
Vertical reaction column, volume </t>
    </r>
    <r>
      <rPr>
        <color rgb="FF0070C0"/>
        <rFont val="微软雅黑"/>
        <sz val="10"/>
      </rPr>
      <t xml:space="preserve">3.5</t>
    </r>
    <r>
      <rPr>
        <color rgb="FF000000"/>
        <rFont val="微软雅黑"/>
        <sz val="10"/>
      </rPr>
      <t xml:space="preserve">L, heat exchange area: 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 ㎡, material in contact with material: 316L</t>
    </r>
  </si>
  <si>
    <t>DN65</t>
  </si>
  <si>
    <t>反应柱03
Continuous Reactor
 Column 03</t>
  </si>
  <si>
    <r>
      <rPr>
        <color rgb="FF000000"/>
        <rFont val="微软雅黑"/>
        <sz val="10"/>
      </rPr>
      <t xml:space="preserve">立式反应柱，体积</t>
    </r>
    <r>
      <rPr>
        <color rgb="FF0070C0"/>
        <rFont val="微软雅黑"/>
        <sz val="10"/>
      </rPr>
      <t xml:space="preserve">3.5</t>
    </r>
    <r>
      <rPr>
        <color rgb="FF000000"/>
        <rFont val="微软雅黑"/>
        <sz val="10"/>
      </rPr>
      <t xml:space="preserve">L，换热面积：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㎡，与物料接触材质：316L
Vertical reaction column, volume</t>
    </r>
    <r>
      <rPr>
        <color rgb="FF0070C0"/>
        <rFont val="微软雅黑"/>
        <sz val="10"/>
      </rPr>
      <t xml:space="preserve"> 3.5</t>
    </r>
    <r>
      <rPr>
        <color rgb="FF000000"/>
        <rFont val="微软雅黑"/>
        <sz val="10"/>
      </rPr>
      <t xml:space="preserve">L, heat exchange area: 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 ㎡, material in contact with material: 316L</t>
    </r>
  </si>
  <si>
    <t>预热器
Pre-heater</t>
  </si>
  <si>
    <t>换热器，换热面积：1.5㎡，与物料接触材质：316L
Heat exchanger, heat exchange area: 1.5 ㎡, material in contact with material: 316L</t>
  </si>
  <si>
    <t>原料预热
Preheating of raw materials</t>
  </si>
  <si>
    <t>冷凝器
Condenser</t>
  </si>
  <si>
    <t>换热器，换热面积：1.2㎡，与物料接触材质：316L
Heat exchanger, heat exchange area: 1.2 ㎡, material in contact with material: 316L</t>
  </si>
  <si>
    <t>反应后冷凝
Condensation after reaction</t>
  </si>
  <si>
    <t>气液分离器
Separator</t>
  </si>
  <si>
    <t>体积：20L，与物料接触材质：316L
Volume: 20L, material in contact with material: 316L</t>
  </si>
  <si>
    <t>分液
Liquid separation</t>
  </si>
  <si>
    <t>产品缓冲罐
Product
 Buffer Tank</t>
  </si>
  <si>
    <t>体系缓冲
System buffering</t>
  </si>
  <si>
    <t>设备CE 认证
Equipment CE certification</t>
  </si>
  <si>
    <t>项</t>
  </si>
  <si>
    <t>10台主设备CE认证
Main equipment CE certification</t>
  </si>
  <si>
    <t>材料EN 认证
Material EN certification</t>
  </si>
  <si>
    <t>10台主设备EN认证
Main equipment EN certification</t>
  </si>
  <si>
    <t>单项合计：</t>
  </si>
  <si>
    <t>辅助设备
Continuous reaction auxiliary equipment</t>
  </si>
  <si>
    <t>计量泵
Metering Pump</t>
  </si>
  <si>
    <t>液压隔膜泵，量程：40L/h，与物料接触材质：316L，单泵头，排出压力：8.0MPa
Hydraulic Diaphragm Pump, range: 40L/h, Material in contact with materials: 316L, Three pump heads, Discharge pressure：8.0MPa.</t>
  </si>
  <si>
    <t>进料，流速40L/h
feeding pump,40L/h.</t>
  </si>
  <si>
    <t>进口品牌，自带IECE认证，英文资料</t>
  </si>
  <si>
    <r>
      <rPr>
        <color rgb="FF000000"/>
        <rFont val="微软雅黑"/>
        <sz val="10"/>
      </rPr>
      <t xml:space="preserve">液压隔膜泵，量程：</t>
    </r>
    <r>
      <rPr>
        <color rgb="FF0070C0"/>
        <rFont val="微软雅黑"/>
        <sz val="10"/>
      </rPr>
      <t xml:space="preserve">0~1</t>
    </r>
    <r>
      <rPr>
        <color rgb="FF000000"/>
        <rFont val="微软雅黑"/>
        <sz val="10"/>
      </rPr>
      <t xml:space="preserve">m3/h，与物料接触材质：316L，排出压力：0.6MPa，扬程：20m
Hydraulic Diaphragm Pump, range: </t>
    </r>
    <r>
      <rPr>
        <color rgb="FF0070C0"/>
        <rFont val="微软雅黑"/>
        <sz val="10"/>
      </rPr>
      <t xml:space="preserve">0~1</t>
    </r>
    <r>
      <rPr>
        <color rgb="FF000000"/>
        <rFont val="微软雅黑"/>
        <sz val="10"/>
      </rPr>
      <t xml:space="preserve">m3/h, material in contact with material: 316L, discharge pressure: 0.6MPa, head: 20m</t>
    </r>
  </si>
  <si>
    <t>产品转移泵
Product transfer pump</t>
  </si>
  <si>
    <t>电气仪表和自控阀门
Electrical instruments and control valves</t>
  </si>
  <si>
    <t>质量流量计
Mass Flowmeter</t>
  </si>
  <si>
    <r>
      <rPr>
        <color rgb="FF000000"/>
        <rFont val="微软雅黑"/>
        <sz val="10"/>
      </rPr>
      <t xml:space="preserve">测量范围：0~</t>
    </r>
    <r>
      <rPr>
        <color rgb="FF0070C0"/>
        <rFont val="微软雅黑"/>
        <sz val="10"/>
      </rPr>
      <t xml:space="preserve">50</t>
    </r>
    <r>
      <rPr>
        <color rgb="FF000000"/>
        <rFont val="微软雅黑"/>
        <sz val="10"/>
      </rPr>
      <t xml:space="preserve">L/h，测量精度±0.5%，与物料接触材质：316L
Measuring range: 0~</t>
    </r>
    <r>
      <rPr>
        <color rgb="FF0070C0"/>
        <rFont val="微软雅黑"/>
        <sz val="10"/>
      </rPr>
      <t xml:space="preserve">50</t>
    </r>
    <r>
      <rPr>
        <color rgb="FF000000"/>
        <rFont val="微软雅黑"/>
        <sz val="10"/>
      </rPr>
      <t xml:space="preserve">L/h, Measuring accuracy: 0.5%, Material in contact with materials: 316L</t>
    </r>
  </si>
  <si>
    <t>流量计量
flow measure</t>
  </si>
  <si>
    <t>Raw Material</t>
  </si>
  <si>
    <t>进口品牌，自带CE认证</t>
  </si>
  <si>
    <t>质量流量计控制器
Mass Flow Controller</t>
  </si>
  <si>
    <r>
      <rPr>
        <color rgb="FF000000"/>
        <rFont val="微软雅黑"/>
        <sz val="10"/>
      </rPr>
      <t xml:space="preserve">测量范围：0-50L</t>
    </r>
    <r>
      <rPr>
        <color rgb="FF000000"/>
        <rFont val="微软雅黑"/>
        <sz val="10"/>
      </rPr>
      <t xml:space="preserve">/min，测量精度±0.5%，与物料接触材质：</t>
    </r>
    <r>
      <rPr>
        <color rgb="FF000000"/>
        <rFont val="微软雅黑"/>
        <sz val="10"/>
      </rPr>
      <t xml:space="preserve">316L</t>
    </r>
    <r>
      <rPr>
        <color rgb="FF000000"/>
        <rFont val="微软雅黑"/>
        <sz val="10"/>
      </rPr>
      <t xml:space="preserve">
Measuring range: </t>
    </r>
    <r>
      <rPr>
        <color rgb="FF000000"/>
        <rFont val="微软雅黑"/>
        <sz val="10"/>
      </rPr>
      <t xml:space="preserve">0-50L/min</t>
    </r>
    <r>
      <rPr>
        <color rgb="FF000000"/>
        <rFont val="微软雅黑"/>
        <sz val="10"/>
      </rPr>
      <t xml:space="preserve">, Measuring accuracy: 0.5%, Material in contact with materials: </t>
    </r>
    <r>
      <rPr>
        <color rgb="FF000000"/>
        <rFont val="微软雅黑"/>
        <sz val="10"/>
      </rPr>
      <t xml:space="preserve">316L</t>
    </r>
    <r>
      <rPr>
        <color rgb="FF000000"/>
        <rFont val="微软雅黑"/>
        <sz val="10"/>
      </rPr>
      <t xml:space="preserve">.</t>
    </r>
  </si>
  <si>
    <t>H2</t>
  </si>
  <si>
    <r>
      <rPr>
        <color rgb="FF000000"/>
        <rFont val="微软雅黑"/>
        <sz val="10"/>
      </rPr>
      <t xml:space="preserve">测量范围：0~</t>
    </r>
    <r>
      <rPr>
        <color rgb="FF0070C0"/>
        <rFont val="微软雅黑"/>
        <sz val="10"/>
      </rPr>
      <t xml:space="preserve">50</t>
    </r>
    <r>
      <rPr>
        <color rgb="FF000000"/>
        <rFont val="微软雅黑"/>
        <sz val="10"/>
      </rPr>
      <t xml:space="preserve">L/h，测量精度±0.5%，与物料接触材质：316L
Measuring range: 0~3L/h, Measuring accuracy: 0.5%, Material in contact with materials: 316L.</t>
    </r>
  </si>
  <si>
    <t>Produce</t>
  </si>
  <si>
    <t>金属转子流量计
metal rotor flowmeter</t>
  </si>
  <si>
    <r>
      <rPr>
        <color rgb="FF000000"/>
        <rFont val="微软雅黑"/>
        <sz val="10"/>
      </rPr>
      <t xml:space="preserve">测量范围：0~10L/min，测量精度： ±0.5%，与物料接触材质：316L，</t>
    </r>
    <r>
      <rPr>
        <color rgb="FF0070C0"/>
        <rFont val="微软雅黑"/>
        <sz val="10"/>
      </rPr>
      <t xml:space="preserve">介质：N2气体</t>
    </r>
    <r>
      <rPr>
        <color rgb="FF000000"/>
        <rFont val="微软雅黑"/>
        <sz val="10"/>
      </rPr>
      <t xml:space="preserve">
Measuring range: 1~10L/min, Measuring accuracy: 0.5%, Material in contact with materials: 316L.Medium: N2 gas</t>
    </r>
  </si>
  <si>
    <t>N2</t>
  </si>
  <si>
    <t>温度变送器
Temperature Transmitter</t>
  </si>
  <si>
    <r>
      <rPr>
        <color rgb="FF000000"/>
        <rFont val="微软雅黑"/>
        <sz val="10"/>
      </rPr>
      <t xml:space="preserve">测量范围：0~150</t>
    </r>
    <r>
      <rPr>
        <color rgb="FF000000"/>
        <rFont val="微软雅黑"/>
        <sz val="10"/>
      </rPr>
      <t xml:space="preserve">℃，测量精度±0.2%FS，</t>
    </r>
    <r>
      <rPr>
        <color rgb="FF000000"/>
        <rFont val="微软雅黑"/>
        <sz val="10"/>
      </rPr>
      <t xml:space="preserve">6mm</t>
    </r>
    <r>
      <rPr>
        <color rgb="FF000000"/>
        <rFont val="微软雅黑"/>
        <sz val="10"/>
      </rPr>
      <t xml:space="preserve">探头
Measuring range: 0~</t>
    </r>
    <r>
      <rPr>
        <color rgb="FF000000"/>
        <rFont val="微软雅黑"/>
        <sz val="10"/>
      </rPr>
      <t xml:space="preserve">150</t>
    </r>
    <r>
      <rPr>
        <color rgb="FF000000"/>
        <rFont val="微软雅黑"/>
        <sz val="10"/>
      </rPr>
      <t xml:space="preserve">℃,  Measuring accuracy ±0.2%FS, </t>
    </r>
    <r>
      <rPr>
        <color rgb="FF000000"/>
        <rFont val="微软雅黑"/>
        <sz val="10"/>
      </rPr>
      <t xml:space="preserve">6mm probe.</t>
    </r>
  </si>
  <si>
    <t>个</t>
  </si>
  <si>
    <t>温度检测
temperature measure</t>
  </si>
  <si>
    <t>H2、MTBE等</t>
  </si>
  <si>
    <t>测量范围：-20~+120℃，测量精度±0.2%FS，6mm探头
Measuring range: -20~+120℃,  Measuring accuracy ±0.2%FS, 6mm probe.</t>
  </si>
  <si>
    <t>HTF等</t>
  </si>
  <si>
    <t>压力变送器
Pressure Transmitter</t>
  </si>
  <si>
    <t>测量范围：0~8.0MPa，测量精度±0.5%，与物料接触材质：316L
Measuring range: 0~8.0MPa, Measuring accuracy: 0.5%, Material in contact with materials: 316L.</t>
  </si>
  <si>
    <t>压力检测
pressure measure</t>
  </si>
  <si>
    <t>液位计
 Liquid level measurment</t>
  </si>
  <si>
    <t>测量范围：0~1000mm（TBD），测量精度±1%，与物料接触材质：316L
Measuring range: 0~1000mm, Measuring accuracy: ±1%, Material in contact with materials: 316L</t>
  </si>
  <si>
    <t>液位测量
level measurement</t>
  </si>
  <si>
    <t>气动调节阀
Pneumatic control valve</t>
  </si>
  <si>
    <r>
      <rPr>
        <color rgb="FF000000"/>
        <rFont val="微软雅黑"/>
        <sz val="10"/>
      </rPr>
      <t xml:space="preserve">工作压力：0.4MPa，工作温度： 10~40</t>
    </r>
    <r>
      <rPr>
        <color rgb="FF000000"/>
        <rFont val="微软雅黑"/>
        <sz val="10"/>
      </rPr>
      <t xml:space="preserve">℃，防爆
Working pressure: 0.4MPa, working temperature: </t>
    </r>
    <r>
      <rPr>
        <color rgb="FF000000"/>
        <rFont val="微软雅黑"/>
        <sz val="10"/>
      </rPr>
      <t xml:space="preserve">10~40</t>
    </r>
    <r>
      <rPr>
        <color rgb="FF000000"/>
        <rFont val="微软雅黑"/>
        <sz val="10"/>
      </rPr>
      <t xml:space="preserve"> ℃,explosion-proof</t>
    </r>
  </si>
  <si>
    <t>流量调节
flow regulation</t>
  </si>
  <si>
    <t>气动开关阀
Pneumatic switching valve</t>
  </si>
  <si>
    <t>工作压力：0-8.0MPa，工作温度： -20~130 ℃，防爆
Working pressure: 0-8.0MPa, working temperature: -80~-70 ℃, explosion-proof</t>
  </si>
  <si>
    <t>开关控制
switch control</t>
  </si>
  <si>
    <t>控制系统
Control System</t>
  </si>
  <si>
    <t>控制系统（SCADA-现场防爆）
Control System</t>
  </si>
  <si>
    <r>
      <rPr>
        <color rgb="FF000000"/>
        <rFont val="微软雅黑"/>
        <sz val="10"/>
      </rPr>
      <t xml:space="preserve">防爆变频柜：内置3个变频器（2.2kw），I/O模块若干，满足欧洲防爆要求（ATEX）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Explosion proof frequency conversion cabinet: equipped with 2 frequency converters and several I/O modules, meeting European explosion-proof requirements (ATEX)</t>
    </r>
  </si>
  <si>
    <r>
      <rPr>
        <color rgb="FF000000"/>
        <rFont val="微软雅黑"/>
        <sz val="10"/>
      </rPr>
      <t xml:space="preserve">泵控制系统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Pump control System</t>
    </r>
  </si>
  <si>
    <t>西门子</t>
  </si>
  <si>
    <t>变频柜、PLC柜 合并，另外配置防爆操作站</t>
  </si>
  <si>
    <r>
      <rPr>
        <color rgb="FF000000"/>
        <rFont val="微软雅黑"/>
        <sz val="10"/>
      </rPr>
      <t xml:space="preserve">移动防爆操作站：内置工控机，PLC控制，显示器，WINCC客户端软件，UPS电源等，满足欧洲防爆要求（ATEX）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Mobile explosion-proof operation station: built-in industrial computer, PLC control, display, WINCC client software, UPS power supply, etc., meeting European explosion-proof requirements (ATEX)</t>
    </r>
  </si>
  <si>
    <r>
      <rPr>
        <color rgb="FF000000"/>
        <rFont val="微软雅黑"/>
        <sz val="10"/>
      </rPr>
      <t xml:space="preserve">控制系统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Control System</t>
    </r>
  </si>
  <si>
    <t>模块化组装
Modular assembly</t>
  </si>
  <si>
    <r>
      <rPr>
        <color rgb="FF000000"/>
        <rFont val="微软雅黑"/>
        <sz val="10"/>
      </rPr>
      <t xml:space="preserve">设备手阀、单向阀、安全阀、管路及保温、模块化框架及</t>
    </r>
    <r>
      <rPr>
        <color rgb="FF00B0F0"/>
        <rFont val="微软雅黑"/>
        <sz val="10"/>
      </rPr>
      <t xml:space="preserve">外部连接管线、步梯</t>
    </r>
    <r>
      <rPr>
        <color rgb="FF000000"/>
        <rFont val="微软雅黑"/>
        <sz val="10"/>
      </rPr>
      <t xml:space="preserve">
Equipment hand valves, one-way valves, safety valves, pipelines and insulation, modular frames, and electrical pipelines, external connection pipelines, steps，etc</t>
    </r>
  </si>
  <si>
    <t>内部加工</t>
  </si>
  <si>
    <t>CFCT预估</t>
  </si>
  <si>
    <r>
      <rPr>
        <color rgb="FF000000"/>
        <rFont val="微软雅黑"/>
        <sz val="10"/>
      </rPr>
      <t xml:space="preserve">仪表电气安装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E&amp;I Installation</t>
    </r>
  </si>
  <si>
    <r>
      <rPr>
        <color rgb="FF000000"/>
        <rFont val="微软雅黑"/>
        <sz val="10"/>
      </rPr>
      <t xml:space="preserve">自控仪表、自控阀门、变频器撬装内安装、接线、测试。含撬装内部电缆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Installation and locally test for control instruments、valves、VFD pumps，internal control cables included</t>
    </r>
  </si>
  <si>
    <t>国内电气仪表组装部分。尽可能预制大部分电缆，减少Sandwich部分电缆工作量</t>
  </si>
  <si>
    <t>CE认证 
CE certification</t>
  </si>
  <si>
    <r>
      <rPr>
        <color rgb="FF000000"/>
        <rFont val="微软雅黑"/>
        <sz val="10"/>
      </rPr>
      <t xml:space="preserve">MD</t>
    </r>
    <r>
      <rPr>
        <color rgb="FF000000"/>
        <rFont val="微软雅黑"/>
        <sz val="10"/>
      </rPr>
      <t xml:space="preserve">认证
</t>
    </r>
    <r>
      <rPr>
        <color rgb="FF000000"/>
        <rFont val="微软雅黑"/>
        <sz val="10"/>
      </rPr>
      <t xml:space="preserve">MD</t>
    </r>
    <r>
      <rPr>
        <color rgb="FF000000"/>
        <rFont val="微软雅黑"/>
        <sz val="10"/>
      </rPr>
      <t xml:space="preserve">certification</t>
    </r>
  </si>
  <si>
    <r>
      <rPr>
        <color rgb="FF000000"/>
        <rFont val="微软雅黑"/>
        <sz val="10"/>
      </rPr>
      <t xml:space="preserve">Asymchem整撬认证，机械指令MD2006/42/EC
</t>
    </r>
    <r>
      <rPr>
        <color rgb="FF000000"/>
        <rFont val="微软雅黑"/>
        <sz val="10"/>
      </rPr>
      <t xml:space="preserve">Asymchem whole pry certification, Machinery Directive MD2006/42/EC</t>
    </r>
  </si>
  <si>
    <t>供应商诚信报价</t>
  </si>
  <si>
    <t>ATEX认证
ATEX certification</t>
  </si>
  <si>
    <t>基于防爆区域为1区的前提下，器件都满足CE认证的情况下，防爆指令ATEX2014/34/EU检查评估（文件接收型认证）
Based on the premise that the explosion-proof area is Zone 1 and all devices meet CE certification, the explosion-proof directive ATEX2014/34/EU inspection and evaluation (document receiving certification)</t>
  </si>
  <si>
    <t>税费
taxation</t>
  </si>
  <si>
    <t>技术服务协议按照6%收税
The technical service agreement is taxed at 6%</t>
  </si>
  <si>
    <t>设备出口安装
Equipment export and installation</t>
  </si>
  <si>
    <t>手续办理
Procedure handling</t>
  </si>
  <si>
    <t>设备出口相关手续的办理
Handling of equipment export related procedures</t>
  </si>
  <si>
    <t>请进出口部门协助评估？</t>
  </si>
  <si>
    <t xml:space="preserve">货物运输
Freight transportation </t>
  </si>
  <si>
    <t>货物运输至海外工厂
Transport of goods to overseas factories</t>
  </si>
  <si>
    <t>CFCT预估，请进出口部门协助核算</t>
  </si>
  <si>
    <t xml:space="preserve">设备安装
Equipment installation </t>
  </si>
  <si>
    <t>海外工厂设备安装
Overseas factory equipment installation</t>
  </si>
  <si>
    <t>总费用合计：</t>
  </si>
  <si>
    <t>折合美元：</t>
  </si>
  <si>
    <t>折合英镑：</t>
  </si>
  <si>
    <t>认证流程图</t>
  </si>
  <si>
    <t>序号</t>
  </si>
  <si>
    <t>设备名称</t>
  </si>
  <si>
    <t>服务指令</t>
  </si>
  <si>
    <t>报价万元</t>
  </si>
  <si>
    <t>ASYMCHEM整撬</t>
  </si>
  <si>
    <t>机械指令MD2006/42/EC</t>
  </si>
  <si>
    <t>防爆指令ATEX2014/34/EU检查评估（文件接收型认证）</t>
  </si>
  <si>
    <t>note:</t>
  </si>
  <si>
    <t>1.本报价基于防爆区域为2区的前提下，器件都满足CE认证的情况下。</t>
  </si>
  <si>
    <t>认证资料</t>
  </si>
  <si>
    <r>
      <rPr>
        <color rgb="FF000000"/>
        <rFont val="Arial"/>
        <sz val="10"/>
      </rPr>
      <t xml:space="preserve">0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申请表：我司提供模板并指导填写；</t>
    </r>
  </si>
  <si>
    <r>
      <rPr>
        <color rgb="FF000000"/>
        <rFont val="Arial"/>
        <sz val="10"/>
      </rPr>
      <t xml:space="preserve">1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产品功能描述：我司提供模板并指导填写；</t>
    </r>
  </si>
  <si>
    <r>
      <rPr>
        <color rgb="FF000000"/>
        <rFont val="Arial"/>
        <sz val="10"/>
      </rPr>
      <t xml:space="preserve">2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机械规格表：我司提供模板并指导填写；</t>
    </r>
  </si>
  <si>
    <r>
      <rPr>
        <color rgb="FF000000"/>
        <rFont val="Arial"/>
        <sz val="10"/>
      </rPr>
      <t xml:space="preserve">3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图纸：</t>
    </r>
  </si>
  <si>
    <r>
      <rPr>
        <color rgb="FF000000"/>
        <rFont val="Arial"/>
        <sz val="10"/>
      </rPr>
      <t xml:space="preserve">3.1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机械外观尺寸图：</t>
    </r>
  </si>
  <si>
    <r>
      <rPr>
        <color rgb="FF000000"/>
        <rFont val="Arial"/>
        <sz val="10"/>
      </rPr>
      <t xml:space="preserve">3.2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机械主要部件图：</t>
    </r>
  </si>
  <si>
    <r>
      <rPr>
        <color rgb="FF000000"/>
        <rFont val="Arial"/>
        <sz val="10"/>
      </rPr>
      <t xml:space="preserve">3.3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机械安全装置及分布图：</t>
    </r>
  </si>
  <si>
    <r>
      <rPr>
        <color rgb="FF000000"/>
        <rFont val="Arial"/>
        <sz val="10"/>
      </rPr>
      <t xml:space="preserve">3.4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设备铭牌图：</t>
    </r>
  </si>
  <si>
    <r>
      <rPr>
        <color rgb="FF000000"/>
        <rFont val="Arial"/>
        <sz val="10"/>
      </rPr>
      <t xml:space="preserve">3.5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电气原理图：</t>
    </r>
  </si>
  <si>
    <r>
      <rPr>
        <color rgb="FF000000"/>
        <rFont val="Arial"/>
        <sz val="10"/>
      </rPr>
      <t xml:space="preserve">3.6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气动原理图：</t>
    </r>
  </si>
  <si>
    <r>
      <rPr>
        <color rgb="FF000000"/>
        <rFont val="Arial"/>
        <sz val="10"/>
      </rPr>
      <t xml:space="preserve">3.7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液压原理图：</t>
    </r>
  </si>
  <si>
    <r>
      <rPr>
        <color rgb="FF000000"/>
        <rFont val="Arial"/>
        <sz val="10"/>
      </rPr>
      <t xml:space="preserve">3.8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机身标识及其分布图；</t>
    </r>
  </si>
  <si>
    <r>
      <rPr>
        <color rgb="FF000000"/>
        <rFont val="Arial"/>
        <sz val="10"/>
      </rPr>
      <t xml:space="preserve">3.9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操作位置示意图；</t>
    </r>
  </si>
  <si>
    <r>
      <rPr>
        <color rgb="FF000000"/>
        <rFont val="Arial"/>
        <sz val="10"/>
      </rPr>
      <t xml:space="preserve">3.10</t>
    </r>
    <r>
      <rPr>
        <color rgb="FF000000"/>
        <rFont val="Times New Roman"/>
        <sz val="7"/>
      </rPr>
      <t xml:space="preserve">     </t>
    </r>
    <r>
      <rPr>
        <color rgb="FF000000"/>
        <rFont val="宋体"/>
        <sz val="10"/>
      </rPr>
      <t xml:space="preserve">搬运吊装示意图；</t>
    </r>
  </si>
  <si>
    <r>
      <rPr>
        <color rgb="FF000000"/>
        <rFont val="Arial"/>
        <sz val="10"/>
      </rPr>
      <t xml:space="preserve">3.11</t>
    </r>
    <r>
      <rPr>
        <color rgb="FF000000"/>
        <rFont val="Times New Roman"/>
        <sz val="7"/>
      </rPr>
      <t xml:space="preserve">     </t>
    </r>
    <r>
      <rPr>
        <color rgb="FF000000"/>
        <rFont val="宋体"/>
        <sz val="10"/>
      </rPr>
      <t xml:space="preserve">防爆分区图；</t>
    </r>
  </si>
  <si>
    <r>
      <rPr>
        <color rgb="FF000000"/>
        <rFont val="Arial"/>
        <sz val="10"/>
      </rPr>
      <t xml:space="preserve">4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零部件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</t>
    </r>
  </si>
  <si>
    <r>
      <rPr>
        <color rgb="FF000000"/>
        <rFont val="Arial"/>
        <sz val="10"/>
      </rPr>
      <t xml:space="preserve">4.1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机械部件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</si>
  <si>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4.2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电气组件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</si>
  <si>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4.3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气动组件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</si>
  <si>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4.4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液压组件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</si>
  <si>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4.5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防爆组件</t>
    </r>
    <r>
      <rPr>
        <color rgb="FF000000"/>
        <rFont val="Arial"/>
        <sz val="10"/>
      </rPr>
      <t xml:space="preserve">CE-ATEX</t>
    </r>
    <r>
      <rPr>
        <color rgb="FF000000"/>
        <rFont val="宋体"/>
        <sz val="10"/>
      </rPr>
      <t xml:space="preserve">证书（并附上组件表）；</t>
    </r>
  </si>
  <si>
    <r>
      <rPr>
        <color rgb="FF000000"/>
        <rFont val="Arial"/>
        <sz val="10"/>
      </rPr>
      <t xml:space="preserve">5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安全设计计算</t>
    </r>
  </si>
  <si>
    <r>
      <rPr>
        <color rgb="FF000000"/>
        <rFont val="Arial"/>
        <sz val="10"/>
      </rPr>
      <t xml:space="preserve">5.1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电气安全回路可靠性能等级计算</t>
    </r>
  </si>
  <si>
    <r>
      <rPr>
        <color rgb="FF000000"/>
        <rFont val="Arial"/>
        <sz val="10"/>
      </rPr>
      <t xml:space="preserve">5.2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机械安全设计计算书；</t>
    </r>
  </si>
  <si>
    <r>
      <rPr>
        <color rgb="FF000000"/>
        <rFont val="Arial"/>
        <sz val="10"/>
      </rPr>
      <t xml:space="preserve">5.3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防爆结构设计校核书（如有必要）；</t>
    </r>
  </si>
  <si>
    <r>
      <rPr>
        <color rgb="FF000000"/>
        <rFont val="Arial"/>
        <sz val="10"/>
      </rPr>
      <t xml:space="preserve">6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材质证明、测试报告：第</t>
    </r>
    <r>
      <rPr>
        <color rgb="FF000000"/>
        <rFont val="Arial"/>
        <sz val="10"/>
      </rPr>
      <t xml:space="preserve">5.2</t>
    </r>
    <r>
      <rPr>
        <color rgb="FF000000"/>
        <rFont val="宋体"/>
        <sz val="10"/>
      </rPr>
      <t xml:space="preserve">条的计算中涉及到的数据文件；</t>
    </r>
  </si>
  <si>
    <r>
      <rPr>
        <color rgb="FF000000"/>
        <rFont val="Arial"/>
        <sz val="10"/>
      </rPr>
      <t xml:space="preserve">7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安全相关部件数据表：第</t>
    </r>
    <r>
      <rPr>
        <color rgb="FF000000"/>
        <rFont val="Arial"/>
        <sz val="10"/>
      </rPr>
      <t xml:space="preserve">5.1</t>
    </r>
    <r>
      <rPr>
        <color rgb="FF000000"/>
        <rFont val="宋体"/>
        <sz val="10"/>
      </rPr>
      <t xml:space="preserve">条的计算中涉及到的数据文件；</t>
    </r>
  </si>
  <si>
    <r>
      <rPr>
        <color rgb="FF000000"/>
        <rFont val="Arial"/>
        <sz val="10"/>
      </rPr>
      <t xml:space="preserve">8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设备说明书；</t>
    </r>
  </si>
  <si>
    <r>
      <rPr>
        <color rgb="FF000000"/>
        <rFont val="Arial"/>
        <sz val="10"/>
      </rPr>
      <t xml:space="preserve">9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风险分析报告：我司提供模板并指导填写；</t>
    </r>
  </si>
  <si>
    <r>
      <rPr>
        <color rgb="FF000000"/>
        <rFont val="Arial"/>
        <sz val="10"/>
      </rPr>
      <t xml:space="preserve">10</t>
    </r>
    <r>
      <rPr>
        <color rgb="FF000000"/>
        <rFont val="Times New Roman"/>
        <sz val="7"/>
      </rPr>
      <t xml:space="preserve">      </t>
    </r>
    <r>
      <rPr>
        <color rgb="FF000000"/>
        <rFont val="宋体"/>
        <sz val="10"/>
      </rPr>
      <t xml:space="preserve">质量管理体系证书：</t>
    </r>
    <r>
      <rPr>
        <color rgb="FF000000"/>
        <rFont val="Arial"/>
        <sz val="10"/>
      </rPr>
      <t xml:space="preserve">ISO 9001</t>
    </r>
  </si>
  <si>
    <r>
      <rPr>
        <color rgb="FF000000"/>
        <rFont val="Arial"/>
        <sz val="10"/>
      </rPr>
      <t xml:space="preserve">11</t>
    </r>
    <r>
      <rPr>
        <color rgb="FF000000"/>
        <rFont val="Times New Roman"/>
        <sz val="7"/>
      </rPr>
      <t xml:space="preserve">      </t>
    </r>
    <r>
      <rPr>
        <color rgb="FF000000"/>
        <rFont val="宋体"/>
        <sz val="10"/>
      </rPr>
      <t xml:space="preserve">一致性声明：我司提供模板并指导填写；</t>
    </r>
  </si>
  <si>
    <t>备注：</t>
  </si>
  <si>
    <r>
      <rPr>
        <color rgb="FF000000"/>
        <rFont val="Arial"/>
        <sz val="10"/>
      </rPr>
      <t xml:space="preserve">-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以上所有资料均应提供英文（可以为中英文对照）</t>
    </r>
  </si>
  <si>
    <r>
      <rPr>
        <color rgb="FF000000"/>
        <rFont val="Arial"/>
        <sz val="10"/>
      </rPr>
      <t xml:space="preserve">-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没有英文版本的测试报告或证书原件，可附上</t>
    </r>
    <r>
      <rPr>
        <color rgb="FF000000"/>
        <rFont val="Arial"/>
        <sz val="10"/>
      </rPr>
      <t xml:space="preserve">Word</t>
    </r>
    <r>
      <rPr>
        <color rgb="FF000000"/>
        <rFont val="宋体"/>
        <sz val="10"/>
      </rPr>
      <t xml:space="preserve">版本的英文翻译件（翻译件不需要签字盖章）；</t>
    </r>
  </si>
  <si>
    <t>Sandwich Hydrogenation Implementation Schedule</t>
  </si>
  <si>
    <t>Resourse Note</t>
  </si>
  <si>
    <t>时间 Time line</t>
  </si>
  <si>
    <t>month</t>
  </si>
  <si>
    <t>工作事项 work item</t>
  </si>
  <si>
    <t>负责部门</t>
  </si>
  <si>
    <t>Design</t>
  </si>
  <si>
    <t>HAZOP （support resource in grey）</t>
  </si>
  <si>
    <t>UK</t>
  </si>
  <si>
    <t>hazop 下半部分
PID和泵的参数表、数据表 -- 提采购（仪表和自控阀门已经提交采购（采购收集需求信息与Keith确认，然后确定厂家和型号收集下，UK最终确认）；泵还没提，静设备还没提）
layout初稿，共同讨论
设备数据表、设备图 、反应器设备数据表（1.19 聂博） -- 静设备结构（1.23更新好 赵工）
关键设备信息（难点在基于国外规范要求的需求，需要Keith他们提供或反复沟通）
CEPS操作
输出：静设备最终结构设计确定
布局设计终稿
管路设计 -- PID的终稿、layout 终稿、泵和仪表静设备采购信息 -- 3D图 -- 采购 （采购信息确定之后 2周出3D）
结构设计 -- 强度计算（看SW需求？）CFCT无法，要找第三方
控制柜位置确定、采购</t>
  </si>
  <si>
    <t>Control Description</t>
  </si>
  <si>
    <t>IEPE</t>
  </si>
  <si>
    <t>PFD and Mass Balance Data Sheet</t>
  </si>
  <si>
    <t>SW</t>
  </si>
  <si>
    <t>HAZOP</t>
  </si>
  <si>
    <t>PI&amp;D</t>
  </si>
  <si>
    <t>Process Equipment List</t>
  </si>
  <si>
    <t>Equipment datasheets</t>
  </si>
  <si>
    <t>Battery Limit Condition Sheet (Tie-in point sheet)</t>
  </si>
  <si>
    <t>Instrumentation Condition Table</t>
  </si>
  <si>
    <t>Piping Material Class Specification</t>
  </si>
  <si>
    <t>Process Piping List</t>
  </si>
  <si>
    <t>Special Piping Accessories Data Sheet</t>
  </si>
  <si>
    <t>Main Safety Relief Facilities Data Sheet</t>
  </si>
  <si>
    <t>Instrument datasheets</t>
  </si>
  <si>
    <t>Interlock logic</t>
  </si>
  <si>
    <t>IEPE/UK</t>
  </si>
  <si>
    <t>Pump specification sheet</t>
  </si>
  <si>
    <t>Operating instructions</t>
  </si>
  <si>
    <t>Preliminary equipment layout</t>
  </si>
  <si>
    <r>
      <rPr>
        <color rgb="FFFF0000"/>
        <rFont val="微软雅黑"/>
        <sz val="10"/>
      </rPr>
      <t xml:space="preserve">IEPE/</t>
    </r>
    <r>
      <rPr>
        <color rgb="FF000000"/>
        <rFont val="微软雅黑"/>
        <sz val="10"/>
      </rPr>
      <t xml:space="preserve">CFCT</t>
    </r>
  </si>
  <si>
    <t>structural design of static equipment（pink）</t>
  </si>
  <si>
    <t>IEPE/CFCT/UK</t>
  </si>
  <si>
    <t>Reactor column specification sheet</t>
  </si>
  <si>
    <t>IEPE/CFCT</t>
  </si>
  <si>
    <t>Procurement information confirmation(pump\insturment\equipment schedule)</t>
  </si>
  <si>
    <r>
      <rPr>
        <color rgb="FF000000"/>
        <rFont val="微软雅黑"/>
        <sz val="10"/>
      </rPr>
      <t xml:space="preserve">CFCT</t>
    </r>
    <r>
      <rPr>
        <color rgb="FFFF0000"/>
        <rFont val="微软雅黑"/>
        <sz val="10"/>
      </rPr>
      <t xml:space="preserve">/IEPE</t>
    </r>
    <r>
      <rPr>
        <color rgb="FF000000"/>
        <rFont val="微软雅黑"/>
        <sz val="10"/>
      </rPr>
      <t xml:space="preserve">/UK</t>
    </r>
  </si>
  <si>
    <t>FDS(CS in FDS)/SDS/HDS</t>
  </si>
  <si>
    <t>IEPE/CFCT/CIMT</t>
  </si>
  <si>
    <t>URS</t>
  </si>
  <si>
    <t>Instrument Schedule  (including instrument ranges and set values)</t>
  </si>
  <si>
    <t>I/O schedule (including I/O type, ranges and alarm settings)</t>
  </si>
  <si>
    <t>trip and interlock schedules for PLC interlocks</t>
  </si>
  <si>
    <t>PCS interlocks and hardwired interlocks</t>
  </si>
  <si>
    <t>SIL assessments for safety/environmental interlocks and LOPA assessments for potential SIL rated SIFs</t>
  </si>
  <si>
    <t>Alarm list</t>
  </si>
  <si>
    <t>Hardware drawing of PLC</t>
  </si>
  <si>
    <t>CIMT</t>
  </si>
  <si>
    <t>IOA of PLC</t>
  </si>
  <si>
    <t>Cable schedule</t>
  </si>
  <si>
    <t>Skid</t>
  </si>
  <si>
    <t>3D modelling (procurement feedback; UK confirmation of equipment layout)</t>
  </si>
  <si>
    <t>CFCT</t>
  </si>
  <si>
    <t>BOM</t>
  </si>
  <si>
    <t>Fabrication drawings</t>
  </si>
  <si>
    <t>Engineering procurement (valves &amp; instruments, static equipment, pumps, piping and fittings; within the skid)</t>
  </si>
  <si>
    <t>Control system procurement and configuration</t>
  </si>
  <si>
    <t>CFCT/CIMT</t>
  </si>
  <si>
    <t>Equipment fabrication, assembly and debugging</t>
  </si>
  <si>
    <t>Integrated factory acceptance (FAT)</t>
  </si>
  <si>
    <t>UK/CFCT/IEPE</t>
  </si>
  <si>
    <t>CE certification (individual equipment + whole-skid certification per Notified Body requirements); full documentation completed</t>
  </si>
  <si>
    <t>Export formalities, transport inspection/certification and packing</t>
  </si>
  <si>
    <t>Import/Export</t>
  </si>
  <si>
    <t>Export shipment (Europe)</t>
  </si>
  <si>
    <t>On Site Engineering Design</t>
  </si>
  <si>
    <t>PID</t>
  </si>
  <si>
    <t>UK/IEPE</t>
  </si>
  <si>
    <t>Engineering design documents</t>
  </si>
  <si>
    <t>Detailed design</t>
  </si>
  <si>
    <t>Procurement</t>
  </si>
  <si>
    <t>On Site Installing</t>
  </si>
  <si>
    <t>Off-skid/peripheral installation</t>
  </si>
  <si>
    <r>
      <rPr>
        <color rgb="FF000000"/>
        <rFont val="微软雅黑"/>
        <sz val="10"/>
      </rPr>
      <t xml:space="preserve">U</t>
    </r>
    <r>
      <rPr>
        <color rgb="FF000000"/>
        <rFont val="微软雅黑"/>
        <sz val="10"/>
      </rPr>
      <t xml:space="preserve">K </t>
    </r>
  </si>
  <si>
    <t>Skid installation</t>
  </si>
  <si>
    <r>
      <rPr>
        <color rgb="FF000000"/>
        <rFont val="微软雅黑"/>
        <sz val="10"/>
      </rPr>
      <t xml:space="preserve">U</t>
    </r>
    <r>
      <rPr>
        <color rgb="FF000000"/>
        <rFont val="微软雅黑"/>
        <sz val="10"/>
      </rPr>
      <t xml:space="preserve">K</t>
    </r>
  </si>
  <si>
    <t>Mechanical, electrical, instrumentation &amp; piping (MEIP) installation</t>
  </si>
  <si>
    <t>Qualification &amp; acceptance testing (DQ / IQ / OQ)</t>
  </si>
  <si>
    <t>Commissioning and start-up</t>
  </si>
  <si>
    <r>
      <rPr>
        <b/>
        <color rgb="FF000000"/>
        <rFont val="微软雅黑"/>
        <sz val="12"/>
      </rPr>
      <t xml:space="preserve">s</t>
    </r>
    <r>
      <rPr>
        <b/>
        <color rgb="FF000000"/>
        <rFont val="微软雅黑"/>
        <sz val="12"/>
      </rPr>
      <t xml:space="preserve">andwich连续氢化实施计划表</t>
    </r>
  </si>
  <si>
    <t>CFCT/UK</t>
  </si>
  <si>
    <t>CFCT/Dezhi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</si>
</sst>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£-809]#,##0;\-[$£-809]#,##0"/>
    <numFmt numFmtId="165" formatCode="\¥#,##0;\¥\-#,##0"/>
    <numFmt numFmtId="166" formatCode="General&quot; 万RMB&quot;"/>
    <numFmt numFmtId="167" formatCode="General&quot; M$&quot;"/>
    <numFmt numFmtId="168" formatCode="&quot;1USD=&quot;###0.00&quot;RMB&quot;"/>
    <numFmt numFmtId="169" formatCode="General&quot; M£&quot;"/>
    <numFmt numFmtId="170" formatCode="&quot;1£=&quot;###0.00&quot;RMB&quot;"/>
    <numFmt numFmtId="171" formatCode="#,##0_ "/>
  </numFmts>
  <fonts count="1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8"/>
      <color rgb="FF000000"/>
      <name val="微软雅黑"/>
    </font>
    <font>
      <sz val="10"/>
      <color rgb="FF000000"/>
      <name val="微软雅黑"/>
    </font>
    <font>
      <b/>
      <sz val="10"/>
      <color rgb="FF000000"/>
      <name val="微软雅黑"/>
    </font>
    <font>
      <sz val="9"/>
      <color rgb="FF000000"/>
      <name val="微软雅黑"/>
    </font>
    <font>
      <sz val="10"/>
      <color rgb="FFFF0000"/>
      <name val="微软雅黑"/>
    </font>
    <font>
      <sz val="12"/>
      <color rgb="FF000000"/>
      <name val="等线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宋体"/>
    </font>
    <font>
      <sz val="12"/>
      <color rgb="FF000000"/>
      <name val="微软雅黑"/>
    </font>
    <font>
      <sz val="11"/>
      <color rgb="FF000000"/>
      <name val="微软雅黑"/>
    </font>
    <font>
      <sz val="10"/>
      <color rgb="FF0070C0"/>
      <name val="微软雅黑"/>
    </font>
    <font>
      <b/>
      <sz val="12"/>
      <color rgb="FF000000"/>
      <name val="微软雅黑"/>
    </font>
    <font>
      <sz val="12"/>
      <color rgb="FFFF0000"/>
      <name val="微软雅黑"/>
    </font>
    <font>
      <sz val="11"/>
      <color rgb="FFFF0000"/>
      <name val="微软雅黑"/>
    </font>
    <font>
      <sz val="9"/>
      <color rgb="FF7030A0"/>
      <name val="微软雅黑"/>
    </font>
    <font>
      <sz val="10"/>
      <color rgb="FF7030A0"/>
      <name val="微软雅黑"/>
    </font>
    <font>
      <b/>
      <sz val="12"/>
      <color rgb="FF000000"/>
      <name val="微软雅黑"/>
    </font>
    <font>
      <b/>
      <sz val="12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70C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</fonts>
  <fills count="24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7CAAC"/>
      </patternFill>
    </fill>
    <fill>
      <patternFill patternType="solid">
        <fgColor rgb="FFFFFFFF"/>
      </patternFill>
    </fill>
    <fill>
      <patternFill patternType="solid">
        <fgColor rgb="FFA5A5A5"/>
      </patternFill>
    </fill>
    <fill>
      <patternFill patternType="solid">
        <fgColor rgb="FFF4B083"/>
      </patternFill>
    </fill>
    <fill>
      <patternFill patternType="solid">
        <fgColor rgb="FFFFFF00"/>
      </patternFill>
    </fill>
    <fill>
      <patternFill patternType="solid">
        <fgColor rgb="FF8496B0"/>
      </patternFill>
    </fill>
    <fill>
      <patternFill patternType="solid">
        <fgColor rgb="FFA8D08D"/>
      </patternFill>
    </fill>
    <fill>
      <patternFill patternType="solid">
        <fgColor rgb="FF5B9BD5"/>
      </patternFill>
    </fill>
    <fill>
      <patternFill patternType="solid">
        <fgColor rgb="FF548135"/>
      </patternFill>
    </fill>
    <fill>
      <patternFill patternType="solid">
        <fgColor rgb="FF70AD47"/>
      </patternFill>
    </fill>
    <fill>
      <patternFill patternType="solid">
        <fgColor rgb="FFFFD965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2E75B5"/>
      </patternFill>
    </fill>
    <fill>
      <patternFill patternType="solid">
        <fgColor rgb="FFC5E0B3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9CC2E5"/>
      </patternFill>
    </fill>
    <fill>
      <patternFill patternType="solid">
        <fgColor rgb="FF8EAADB"/>
      </patternFill>
    </fill>
    <fill>
      <patternFill patternType="solid">
        <fgColor rgb="FF04B0F1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3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164" fontId="4" fillId="2" borderId="1" xfId="0" applyNumberFormat="1" applyFont="1" applyFill="1" applyBorder="1" applyProtection="1">
      <alignment horizontal="center" vertical="center"/>
    </xf>
    <xf numFmtId="164" fontId="4" fillId="2" borderId="2" xfId="0" applyNumberFormat="1" applyFont="1" applyFill="1" applyBorder="1" applyProtection="1">
      <alignment horizontal="center" vertical="center"/>
    </xf>
    <xf numFmtId="164" fontId="5" fillId="3" borderId="3" xfId="0" applyNumberFormat="1" applyFont="1" applyFill="1" applyBorder="1" applyProtection="1">
      <alignment horizontal="center" vertical="center" wrapText="1"/>
    </xf>
    <xf numFmtId="164" fontId="6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/>
    </xf>
    <xf numFmtId="164" fontId="5" fillId="4" borderId="1" xfId="0" applyNumberFormat="1" applyFont="1" applyFill="1" applyBorder="1" applyProtection="1">
      <alignment horizontal="center" vertical="center"/>
    </xf>
    <xf numFmtId="164" fontId="5" fillId="4" borderId="2" xfId="0" applyNumberFormat="1" applyFont="1" applyFill="1" applyBorder="1" applyProtection="1">
      <alignment horizontal="center" vertical="center"/>
    </xf>
    <xf numFmtId="164" fontId="7" fillId="5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5" fillId="3" borderId="3" xfId="0" applyNumberFormat="1" applyFont="1" applyFill="1" applyBorder="1" applyProtection="1">
      <alignment horizontal="center" vertical="center" wrapText="1"/>
    </xf>
    <xf numFmtId="164" fontId="5" fillId="6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7" borderId="2" xfId="0" applyNumberFormat="1" applyFont="1" applyFill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8" fillId="4" borderId="1" xfId="0" applyNumberFormat="1" applyFont="1" applyFill="1" applyBorder="1" applyProtection="1">
      <alignment horizontal="center" vertical="center"/>
    </xf>
    <xf numFmtId="164" fontId="8" fillId="4" borderId="2" xfId="0" applyNumberFormat="1" applyFont="1" applyFill="1" applyBorder="1" applyProtection="1">
      <alignment horizontal="center" vertical="center"/>
    </xf>
    <xf numFmtId="164" fontId="5" fillId="0" borderId="4" xfId="0" applyNumberFormat="1" applyFont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/>
    </xf>
    <xf numFmtId="164" fontId="5" fillId="4" borderId="5" xfId="0" applyNumberFormat="1" applyFont="1" applyFill="1" applyBorder="1" applyProtection="1">
      <alignment horizontal="center" vertical="center"/>
    </xf>
    <xf numFmtId="164" fontId="5" fillId="7" borderId="2" xfId="0" applyNumberFormat="1" applyFont="1" applyFill="1" applyBorder="1" applyProtection="1">
      <alignment horizontal="center" vertical="center"/>
    </xf>
    <xf numFmtId="164" fontId="5" fillId="7" borderId="5" xfId="0" applyNumberFormat="1" applyFont="1" applyFill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/>
    </xf>
    <xf numFmtId="164" fontId="5" fillId="8" borderId="5" xfId="0" applyNumberFormat="1" applyFont="1" applyFill="1" applyBorder="1" applyProtection="1">
      <alignment horizontal="center" vertical="center"/>
    </xf>
    <xf numFmtId="164" fontId="5" fillId="8" borderId="6" xfId="0" applyNumberFormat="1" applyFont="1" applyFill="1" applyBorder="1" applyProtection="1">
      <alignment horizontal="center" vertical="center"/>
    </xf>
    <xf numFmtId="164" fontId="5" fillId="4" borderId="7" xfId="0" applyNumberFormat="1" applyFont="1" applyFill="1" applyBorder="1" applyProtection="1">
      <alignment horizontal="center" vertical="center"/>
    </xf>
    <xf numFmtId="164" fontId="5" fillId="4" borderId="2" xfId="0" applyNumberFormat="1" applyFont="1" applyFill="1" applyBorder="1" applyProtection="1">
      <alignment horizontal="center" vertical="center"/>
    </xf>
    <xf numFmtId="164" fontId="5" fillId="4" borderId="8" xfId="0" applyNumberFormat="1" applyFont="1" applyFill="1" applyBorder="1" applyProtection="1">
      <alignment horizontal="center" vertical="center"/>
    </xf>
    <xf numFmtId="164" fontId="5" fillId="8" borderId="2" xfId="0" applyNumberFormat="1" applyFont="1" applyFill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5" fillId="4" borderId="9" xfId="0" applyNumberFormat="1" applyFont="1" applyFill="1" applyBorder="1" applyProtection="1">
      <alignment horizontal="center" vertical="center"/>
    </xf>
    <xf numFmtId="164" fontId="5" fillId="0" borderId="7" xfId="0" applyNumberFormat="1" applyFont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5" fillId="4" borderId="9" xfId="0" applyNumberFormat="1" applyFont="1" applyFill="1" applyBorder="1" applyProtection="1">
      <alignment horizontal="center" vertical="center"/>
    </xf>
    <xf numFmtId="164" fontId="5" fillId="9" borderId="8" xfId="0" applyNumberFormat="1" applyFont="1" applyFill="1" applyBorder="1" applyProtection="1">
      <alignment horizontal="center" vertical="center"/>
    </xf>
    <xf numFmtId="164" fontId="5" fillId="6" borderId="6" xfId="0" applyNumberFormat="1" applyFont="1" applyFill="1" applyBorder="1" applyProtection="1">
      <alignment horizontal="center" vertical="center"/>
    </xf>
    <xf numFmtId="164" fontId="5" fillId="6" borderId="2" xfId="0" applyNumberFormat="1" applyFont="1" applyFill="1" applyBorder="1" applyProtection="1">
      <alignment horizontal="center" vertical="center"/>
    </xf>
    <xf numFmtId="164" fontId="5" fillId="9" borderId="2" xfId="0" applyNumberFormat="1" applyFont="1" applyFill="1" applyBorder="1" applyProtection="1">
      <alignment horizontal="center" vertical="center"/>
    </xf>
    <xf numFmtId="164" fontId="5" fillId="4" borderId="2" xfId="0" applyNumberFormat="1" applyFont="1" applyFill="1" applyBorder="1" applyProtection="1">
      <alignment horizontal="center" vertical="center"/>
    </xf>
    <xf numFmtId="164" fontId="5" fillId="4" borderId="2" xfId="0" applyNumberFormat="1" applyFont="1" applyFill="1" applyBorder="1" applyProtection="1">
      <alignment horizontal="center" vertical="center"/>
    </xf>
    <xf numFmtId="164" fontId="5" fillId="0" borderId="2" xfId="0" applyNumberFormat="1" applyFont="1" applyBorder="1" applyProtection="1">
      <alignment horizontal="center" vertical="center"/>
    </xf>
    <xf numFmtId="164" fontId="5" fillId="8" borderId="2" xfId="0" applyNumberFormat="1" applyFont="1" applyFill="1" applyBorder="1" applyProtection="1">
      <alignment horizontal="center" vertical="center"/>
    </xf>
    <xf numFmtId="164" fontId="5" fillId="4" borderId="4" xfId="0" applyNumberFormat="1" applyFont="1" applyFill="1" applyBorder="1" applyProtection="1">
      <alignment horizontal="center" vertical="center"/>
    </xf>
    <xf numFmtId="164" fontId="5" fillId="4" borderId="2" xfId="0" applyNumberFormat="1" applyFont="1" applyFill="1" applyBorder="1" applyProtection="1">
      <alignment horizontal="center" vertical="center"/>
    </xf>
    <xf numFmtId="164" fontId="5" fillId="4" borderId="2" xfId="0" applyNumberFormat="1" applyFont="1" applyFill="1" applyBorder="1" applyProtection="1">
      <alignment horizontal="center" vertical="center"/>
    </xf>
    <xf numFmtId="164" fontId="5" fillId="4" borderId="0" xfId="0" applyNumberFormat="1" applyFont="1" applyFill="1">
      <alignment horizontal="center" vertical="center"/>
    </xf>
    <xf numFmtId="164" fontId="5" fillId="4" borderId="10" xfId="0" applyNumberFormat="1" applyFont="1" applyFill="1" applyBorder="1" applyProtection="1">
      <alignment horizontal="center" vertical="center"/>
    </xf>
    <xf numFmtId="164" fontId="5" fillId="4" borderId="10" xfId="0" applyNumberFormat="1" applyFont="1" applyFill="1" applyBorder="1" applyProtection="1">
      <alignment horizontal="center" vertical="center"/>
    </xf>
    <xf numFmtId="164" fontId="5" fillId="4" borderId="5" xfId="0" applyNumberFormat="1" applyFont="1" applyFill="1" applyBorder="1" applyProtection="1">
      <alignment horizontal="center" vertical="center"/>
    </xf>
    <xf numFmtId="164" fontId="5" fillId="4" borderId="4" xfId="0" applyNumberFormat="1" applyFont="1" applyFill="1" applyBorder="1" applyProtection="1">
      <alignment horizontal="center" vertical="center"/>
    </xf>
    <xf numFmtId="164" fontId="5" fillId="4" borderId="6" xfId="0" applyNumberFormat="1" applyFont="1" applyFill="1" applyBorder="1" applyProtection="1">
      <alignment horizontal="center" vertical="center"/>
    </xf>
    <xf numFmtId="164" fontId="5" fillId="4" borderId="7" xfId="0" applyNumberFormat="1" applyFont="1" applyFill="1" applyBorder="1" applyProtection="1">
      <alignment horizontal="center" vertical="center"/>
    </xf>
    <xf numFmtId="164" fontId="5" fillId="9" borderId="9" xfId="0" applyNumberFormat="1" applyFont="1" applyFill="1" applyBorder="1" applyProtection="1">
      <alignment horizontal="center" vertical="center"/>
    </xf>
    <xf numFmtId="164" fontId="5" fillId="4" borderId="11" xfId="0" applyNumberFormat="1" applyFont="1" applyFill="1" applyBorder="1" applyProtection="1">
      <alignment horizontal="center" vertical="center"/>
    </xf>
    <xf numFmtId="164" fontId="5" fillId="6" borderId="5" xfId="0" applyNumberFormat="1" applyFont="1" applyFill="1" applyBorder="1" applyProtection="1">
      <alignment horizontal="center" vertical="center"/>
    </xf>
    <xf numFmtId="164" fontId="5" fillId="6" borderId="4" xfId="0" applyNumberFormat="1" applyFont="1" applyFill="1" applyBorder="1" applyProtection="1">
      <alignment horizontal="center" vertical="center"/>
    </xf>
    <xf numFmtId="164" fontId="5" fillId="9" borderId="2" xfId="0" applyNumberFormat="1" applyFont="1" applyFill="1" applyBorder="1" applyProtection="1">
      <alignment horizontal="center" vertical="center"/>
    </xf>
    <xf numFmtId="164" fontId="8" fillId="9" borderId="2" xfId="0" applyNumberFormat="1" applyFont="1" applyFill="1" applyBorder="1" applyProtection="1">
      <alignment horizontal="center" vertical="center"/>
    </xf>
    <xf numFmtId="164" fontId="5" fillId="6" borderId="0" xfId="0" applyNumberFormat="1" applyFont="1" applyFill="1">
      <alignment horizontal="center" vertical="center"/>
    </xf>
    <xf numFmtId="164" fontId="5" fillId="6" borderId="5" xfId="0" applyNumberFormat="1" applyFont="1" applyFill="1" applyBorder="1" applyProtection="1">
      <alignment horizontal="center" vertical="center"/>
    </xf>
    <xf numFmtId="164" fontId="5" fillId="7" borderId="2" xfId="0" applyNumberFormat="1" applyFont="1" applyFill="1" applyBorder="1" applyProtection="1">
      <alignment horizontal="center" vertical="center"/>
    </xf>
    <xf numFmtId="164" fontId="5" fillId="8" borderId="2" xfId="0" applyNumberFormat="1" applyFont="1" applyFill="1" applyBorder="1" applyProtection="1">
      <alignment horizontal="center" vertical="center"/>
    </xf>
    <xf numFmtId="164" fontId="5" fillId="10" borderId="2" xfId="0" applyNumberFormat="1" applyFont="1" applyFill="1" applyBorder="1" applyProtection="1">
      <alignment horizontal="center" vertical="center"/>
    </xf>
    <xf numFmtId="164" fontId="5" fillId="11" borderId="2" xfId="0" applyNumberFormat="1" applyFont="1" applyFill="1" applyBorder="1" applyProtection="1">
      <alignment horizontal="center" vertical="center"/>
    </xf>
    <xf numFmtId="164" fontId="5" fillId="4" borderId="4" xfId="0" applyNumberFormat="1" applyFont="1" applyFill="1" applyBorder="1" applyProtection="1">
      <alignment horizontal="center" vertical="center"/>
    </xf>
    <xf numFmtId="164" fontId="5" fillId="6" borderId="5" xfId="0" applyNumberFormat="1" applyFont="1" applyFill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/>
    </xf>
    <xf numFmtId="164" fontId="5" fillId="12" borderId="2" xfId="0" applyNumberFormat="1" applyFont="1" applyFill="1" applyBorder="1" applyProtection="1">
      <alignment horizontal="center" vertical="center"/>
    </xf>
    <xf numFmtId="164" fontId="5" fillId="12" borderId="2" xfId="0" applyNumberFormat="1" applyFont="1" applyFill="1" applyBorder="1" applyProtection="1">
      <alignment horizontal="center" vertical="center"/>
    </xf>
    <xf numFmtId="164" fontId="5" fillId="12" borderId="2" xfId="0" applyNumberFormat="1" applyFont="1" applyFill="1" applyBorder="1" applyProtection="1">
      <alignment horizontal="center" vertical="center"/>
    </xf>
    <xf numFmtId="164" fontId="5" fillId="12" borderId="5" xfId="0" applyNumberFormat="1" applyFont="1" applyFill="1" applyBorder="1" applyProtection="1">
      <alignment horizontal="center" vertical="center"/>
    </xf>
    <xf numFmtId="164" fontId="5" fillId="4" borderId="5" xfId="0" applyNumberFormat="1" applyFont="1" applyFill="1" applyBorder="1" applyProtection="1">
      <alignment horizontal="center" vertical="center"/>
    </xf>
    <xf numFmtId="164" fontId="5" fillId="13" borderId="2" xfId="0" applyNumberFormat="1" applyFont="1" applyFill="1" applyBorder="1" applyProtection="1">
      <alignment horizontal="center" vertical="center"/>
    </xf>
    <xf numFmtId="164" fontId="5" fillId="0" borderId="9" xfId="0" applyNumberFormat="1" applyFont="1" applyBorder="1" applyProtection="1">
      <alignment horizontal="center" vertical="center"/>
    </xf>
    <xf numFmtId="164" fontId="5" fillId="4" borderId="6" xfId="0" applyNumberFormat="1" applyFont="1" applyFill="1" applyBorder="1" applyProtection="1">
      <alignment horizontal="center" vertical="center"/>
    </xf>
    <xf numFmtId="164" fontId="5" fillId="4" borderId="5" xfId="0" applyNumberFormat="1" applyFont="1" applyFill="1" applyBorder="1" applyProtection="1">
      <alignment horizontal="center" vertical="center"/>
    </xf>
    <xf numFmtId="164" fontId="5" fillId="6" borderId="2" xfId="0" applyNumberFormat="1" applyFont="1" applyFill="1" applyBorder="1" applyProtection="1">
      <alignment horizontal="center" vertical="center"/>
    </xf>
    <xf numFmtId="164" fontId="5" fillId="9" borderId="9" xfId="0" applyNumberFormat="1" applyFont="1" applyFill="1" applyBorder="1" applyProtection="1">
      <alignment horizontal="center" vertical="center"/>
    </xf>
    <xf numFmtId="164" fontId="5" fillId="9" borderId="11" xfId="0" applyNumberFormat="1" applyFont="1" applyFill="1" applyBorder="1" applyProtection="1">
      <alignment horizontal="center" vertical="center"/>
    </xf>
    <xf numFmtId="164" fontId="5" fillId="7" borderId="1" xfId="0" applyNumberFormat="1" applyFont="1" applyFill="1" applyBorder="1" applyProtection="1">
      <alignment horizontal="center" vertical="center"/>
    </xf>
    <xf numFmtId="164" fontId="5" fillId="4" borderId="5" xfId="0" applyNumberFormat="1" applyFont="1" applyFill="1" applyBorder="1" applyProtection="1">
      <alignment horizontal="center" vertical="center"/>
    </xf>
    <xf numFmtId="164" fontId="5" fillId="9" borderId="9" xfId="0" applyNumberFormat="1" applyFont="1" applyFill="1" applyBorder="1" applyProtection="1">
      <alignment horizontal="center" vertical="center"/>
    </xf>
    <xf numFmtId="164" fontId="9" fillId="13" borderId="2" xfId="0" applyNumberFormat="1" applyFont="1" applyFill="1" applyBorder="1" applyProtection="1">
      <alignment horizontal="general" vertical="center"/>
    </xf>
    <xf numFmtId="164" fontId="9" fillId="4" borderId="2" xfId="0" applyNumberFormat="1" applyFont="1" applyFill="1" applyBorder="1" applyProtection="1">
      <alignment horizontal="general" vertical="center"/>
    </xf>
    <xf numFmtId="164" fontId="9" fillId="4" borderId="5" xfId="0" applyNumberFormat="1" applyFont="1" applyFill="1" applyBorder="1" applyProtection="1">
      <alignment horizontal="general" vertical="center"/>
    </xf>
    <xf numFmtId="164" fontId="9" fillId="4" borderId="5" xfId="0" applyNumberFormat="1" applyFont="1" applyFill="1" applyBorder="1" applyProtection="1">
      <alignment horizontal="general" vertical="center"/>
    </xf>
    <xf numFmtId="164" fontId="5" fillId="6" borderId="5" xfId="0" applyNumberFormat="1" applyFont="1" applyFill="1" applyBorder="1" applyProtection="1">
      <alignment horizontal="center" vertical="center"/>
    </xf>
    <xf numFmtId="164" fontId="5" fillId="6" borderId="2" xfId="0" applyNumberFormat="1" applyFont="1" applyFill="1" applyBorder="1" applyProtection="1">
      <alignment horizontal="center" vertical="center"/>
    </xf>
    <xf numFmtId="164" fontId="5" fillId="0" borderId="9" xfId="0" applyNumberFormat="1" applyFont="1" applyBorder="1" applyProtection="1">
      <alignment horizontal="center" vertical="center"/>
    </xf>
    <xf numFmtId="164" fontId="5" fillId="0" borderId="11" xfId="0" applyNumberFormat="1" applyFont="1" applyBorder="1" applyProtection="1">
      <alignment horizontal="center" vertical="center"/>
    </xf>
    <xf numFmtId="164" fontId="9" fillId="0" borderId="2" xfId="0" applyNumberFormat="1" applyFont="1" applyBorder="1" applyProtection="1">
      <alignment horizontal="general" vertical="center"/>
    </xf>
    <xf numFmtId="164" fontId="9" fillId="0" borderId="5" xfId="0" applyNumberFormat="1" applyFont="1" applyBorder="1" applyProtection="1">
      <alignment horizontal="general" vertical="center"/>
    </xf>
    <xf numFmtId="164" fontId="9" fillId="0" borderId="5" xfId="0" applyNumberFormat="1" applyFont="1" applyBorder="1" applyProtection="1">
      <alignment horizontal="general" vertical="center"/>
    </xf>
    <xf numFmtId="164" fontId="5" fillId="4" borderId="12" xfId="0" applyNumberFormat="1" applyFont="1" applyFill="1" applyBorder="1" applyProtection="1">
      <alignment horizontal="center" vertical="center"/>
    </xf>
    <xf numFmtId="164" fontId="5" fillId="0" borderId="9" xfId="0" applyNumberFormat="1" applyFont="1" applyBorder="1" applyProtection="1">
      <alignment horizontal="center" vertical="center"/>
    </xf>
    <xf numFmtId="164" fontId="5" fillId="0" borderId="7" xfId="0" applyNumberFormat="1" applyFont="1" applyBorder="1" applyProtection="1">
      <alignment horizontal="center" vertical="center"/>
    </xf>
    <xf numFmtId="164" fontId="4" fillId="2" borderId="5" xfId="0" applyNumberFormat="1" applyFont="1" applyFill="1" applyBorder="1" applyProtection="1">
      <alignment horizontal="center" vertical="center"/>
    </xf>
    <xf numFmtId="164" fontId="5" fillId="14" borderId="2" xfId="0" applyNumberFormat="1" applyFont="1" applyFill="1" applyBorder="1" applyProtection="1">
      <alignment horizontal="center" vertical="center"/>
    </xf>
    <xf numFmtId="164" fontId="9" fillId="14" borderId="7" xfId="0" applyNumberFormat="1" applyFont="1" applyFill="1" applyBorder="1" applyProtection="1">
      <alignment horizontal="general" vertical="center"/>
    </xf>
    <xf numFmtId="164" fontId="4" fillId="2" borderId="6" xfId="0" applyNumberFormat="1" applyFont="1" applyFill="1" applyBorder="1" applyProtection="1">
      <alignment horizontal="center" vertical="center"/>
    </xf>
    <xf numFmtId="164" fontId="4" fillId="2" borderId="5" xfId="0" applyNumberFormat="1" applyFont="1" applyFill="1" applyBorder="1" applyProtection="1">
      <alignment horizontal="center" vertical="center"/>
    </xf>
    <xf numFmtId="164" fontId="9" fillId="0" borderId="7" xfId="0" applyNumberFormat="1" applyFont="1" applyBorder="1" applyProtection="1">
      <alignment horizontal="general" vertical="center"/>
    </xf>
    <xf numFmtId="164" fontId="9" fillId="14" borderId="2" xfId="0" applyNumberFormat="1" applyFont="1" applyFill="1" applyBorder="1" applyProtection="1">
      <alignment horizontal="general" vertical="center"/>
    </xf>
    <xf numFmtId="164" fontId="9" fillId="0" borderId="7" xfId="0" applyNumberFormat="1" applyFont="1" applyBorder="1" applyProtection="1">
      <alignment horizontal="general" vertical="center"/>
    </xf>
    <xf numFmtId="164" fontId="9" fillId="0" borderId="2" xfId="0" applyNumberFormat="1" applyFont="1" applyBorder="1" applyProtection="1">
      <alignment horizontal="general" vertical="center"/>
    </xf>
    <xf numFmtId="164" fontId="5" fillId="0" borderId="7" xfId="0" applyNumberFormat="1" applyFont="1" applyBorder="1" applyProtection="1">
      <alignment horizontal="center" vertical="center"/>
    </xf>
    <xf numFmtId="164" fontId="9" fillId="0" borderId="2" xfId="0" applyNumberFormat="1" applyFont="1" applyBorder="1" applyProtection="1">
      <alignment horizontal="general" vertical="center"/>
    </xf>
    <xf numFmtId="164" fontId="9" fillId="15" borderId="2" xfId="0" applyNumberFormat="1" applyFont="1" applyFill="1" applyBorder="1" applyProtection="1">
      <alignment horizontal="general" vertical="center"/>
    </xf>
    <xf numFmtId="164" fontId="9" fillId="0" borderId="0" xfId="0" applyNumberFormat="1" applyFont="1">
      <alignment horizontal="center" vertical="center"/>
    </xf>
    <xf numFmtId="164" fontId="9" fillId="0" borderId="0" xfId="0" applyNumberFormat="1" applyFont="1">
      <alignment horizontal="general" vertical="center" wrapText="1"/>
    </xf>
    <xf numFmtId="164" fontId="9" fillId="16" borderId="2" xfId="0" applyNumberFormat="1" applyFont="1" applyFill="1" applyBorder="1" applyProtection="1">
      <alignment horizontal="general" vertical="center"/>
    </xf>
    <xf numFmtId="164" fontId="9" fillId="6" borderId="2" xfId="0" applyNumberFormat="1" applyFont="1" applyFill="1" applyBorder="1" applyProtection="1">
      <alignment horizontal="general" vertical="center"/>
    </xf>
    <xf numFmtId="164" fontId="9" fillId="0" borderId="0" xfId="0" applyNumberFormat="1" applyFont="1">
      <alignment horizontal="general" vertical="center"/>
    </xf>
    <xf numFmtId="164" fontId="9" fillId="0" borderId="2" xfId="0" applyNumberFormat="1" applyFont="1" applyBorder="1" applyProtection="1">
      <alignment horizontal="general" vertical="center"/>
    </xf>
    <xf numFmtId="164" fontId="9" fillId="0" borderId="2" xfId="0" applyNumberFormat="1" applyFont="1" applyBorder="1" applyProtection="1">
      <alignment horizontal="left" vertical="center"/>
    </xf>
    <xf numFmtId="164" fontId="9" fillId="0" borderId="2" xfId="0" applyNumberFormat="1" applyFont="1" applyBorder="1" applyProtection="1">
      <alignment horizontal="general" vertical="center" wrapText="1"/>
    </xf>
    <xf numFmtId="164" fontId="9" fillId="0" borderId="0" xfId="0" applyNumberFormat="1" applyFont="1">
      <alignment horizontal="left" vertical="center"/>
    </xf>
    <xf numFmtId="164" fontId="10" fillId="0" borderId="0" xfId="0" applyNumberFormat="1" applyFont="1">
      <alignment horizontal="left" vertical="center" indent="2"/>
    </xf>
    <xf numFmtId="164" fontId="10" fillId="0" borderId="0" xfId="0" applyNumberFormat="1" applyFont="1">
      <alignment horizontal="left" vertical="center" indent="5"/>
    </xf>
    <xf numFmtId="164" fontId="11" fillId="0" borderId="0" xfId="0" applyNumberFormat="1" applyFont="1">
      <alignment horizontal="general" vertical="center"/>
    </xf>
    <xf numFmtId="164" fontId="12" fillId="0" borderId="0" xfId="0" applyNumberFormat="1" applyFont="1">
      <alignment horizontal="general" vertical="center"/>
    </xf>
    <xf numFmtId="164" fontId="5" fillId="0" borderId="0" xfId="0" applyNumberFormat="1" applyFont="1">
      <alignment horizontal="center" vertical="center" wrapText="1"/>
    </xf>
    <xf numFmtId="164" fontId="8" fillId="0" borderId="0" xfId="0" applyNumberFormat="1" applyFont="1">
      <alignment horizontal="center" vertical="center" wrapText="1"/>
    </xf>
    <xf numFmtId="164" fontId="13" fillId="0" borderId="0" xfId="0" applyNumberFormat="1" applyFont="1">
      <alignment horizontal="center" vertical="center" wrapText="1"/>
    </xf>
    <xf numFmtId="164" fontId="14" fillId="0" borderId="0" xfId="0" applyNumberFormat="1" applyFont="1">
      <alignment horizontal="center" vertical="center" wrapText="1"/>
    </xf>
    <xf numFmtId="164" fontId="5" fillId="0" borderId="0" xfId="0" applyNumberFormat="1" applyFont="1">
      <alignment horizontal="right" vertical="center" wrapText="1"/>
    </xf>
    <xf numFmtId="164" fontId="5" fillId="0" borderId="0" xfId="0" applyNumberFormat="1" applyFont="1">
      <alignment horizontal="left" vertical="center" wrapText="1"/>
    </xf>
    <xf numFmtId="164" fontId="13" fillId="0" borderId="0" xfId="0" applyNumberFormat="1" applyFont="1">
      <alignment horizontal="general" vertical="center"/>
    </xf>
    <xf numFmtId="164" fontId="5" fillId="0" borderId="13" xfId="0" applyNumberFormat="1" applyFont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15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6" fillId="2" borderId="2" xfId="0" applyNumberFormat="1" applyFont="1" applyFill="1" applyBorder="1" applyProtection="1">
      <alignment horizontal="right" vertical="center" wrapText="1"/>
    </xf>
    <xf numFmtId="164" fontId="5" fillId="7" borderId="2" xfId="0" applyNumberFormat="1" applyFont="1" applyFill="1" applyBorder="1" applyProtection="1">
      <alignment horizontal="center" vertical="center" wrapText="1"/>
    </xf>
    <xf numFmtId="165" fontId="15" fillId="17" borderId="9" xfId="0" applyNumberFormat="1" applyFont="1" applyFill="1" applyBorder="1" applyProtection="1">
      <alignment horizontal="center" vertical="center" wrapText="1"/>
    </xf>
    <xf numFmtId="164" fontId="15" fillId="0" borderId="2" xfId="0" applyNumberFormat="1" applyFont="1" applyBorder="1" applyProtection="1">
      <alignment horizontal="center" vertical="center" wrapText="1"/>
    </xf>
    <xf numFmtId="164" fontId="15" fillId="7" borderId="2" xfId="0" applyNumberFormat="1" applyFont="1" applyFill="1" applyBorder="1" applyProtection="1">
      <alignment horizontal="center" vertical="center" wrapText="1"/>
    </xf>
    <xf numFmtId="164" fontId="5" fillId="0" borderId="16" xfId="0" applyNumberFormat="1" applyFont="1" applyBorder="1" applyProtection="1">
      <alignment horizontal="center" vertical="center" wrapText="1"/>
    </xf>
    <xf numFmtId="164" fontId="16" fillId="0" borderId="0" xfId="0" applyNumberFormat="1" applyFont="1">
      <alignment horizontal="right" vertical="center" wrapText="1"/>
    </xf>
    <xf numFmtId="164" fontId="5" fillId="0" borderId="0" xfId="0" applyNumberFormat="1" applyFont="1">
      <alignment horizontal="center" vertical="center" wrapText="1"/>
    </xf>
    <xf numFmtId="165" fontId="15" fillId="0" borderId="14" xfId="0" applyNumberFormat="1" applyFont="1" applyBorder="1" applyProtection="1">
      <alignment horizontal="center" vertical="center" wrapText="1"/>
    </xf>
    <xf numFmtId="165" fontId="15" fillId="4" borderId="14" xfId="0" applyNumberFormat="1" applyFont="1" applyFill="1" applyBorder="1" applyProtection="1">
      <alignment horizontal="right" vertical="center" wrapText="1"/>
    </xf>
    <xf numFmtId="165" fontId="5" fillId="0" borderId="14" xfId="0" applyNumberFormat="1" applyFont="1" applyBorder="1" applyProtection="1">
      <alignment horizontal="right" vertical="center" wrapText="1"/>
    </xf>
    <xf numFmtId="165" fontId="5" fillId="0" borderId="17" xfId="0" applyNumberFormat="1" applyFont="1" applyBorder="1" applyProtection="1">
      <alignment horizontal="left" vertical="center" wrapText="1"/>
    </xf>
    <xf numFmtId="165" fontId="15" fillId="0" borderId="9" xfId="0" applyNumberFormat="1" applyFont="1" applyBorder="1" applyProtection="1">
      <alignment horizontal="center" vertical="center" wrapText="1"/>
    </xf>
    <xf numFmtId="165" fontId="15" fillId="4" borderId="9" xfId="0" applyNumberFormat="1" applyFont="1" applyFill="1" applyBorder="1" applyProtection="1">
      <alignment horizontal="right" vertical="center" wrapText="1"/>
    </xf>
    <xf numFmtId="165" fontId="5" fillId="0" borderId="9" xfId="0" applyNumberFormat="1" applyFont="1" applyBorder="1" applyProtection="1">
      <alignment horizontal="right" vertical="center" wrapText="1"/>
    </xf>
    <xf numFmtId="165" fontId="5" fillId="0" borderId="18" xfId="0" applyNumberFormat="1" applyFont="1" applyBorder="1" applyProtection="1">
      <alignment horizontal="left" vertical="center" wrapText="1"/>
    </xf>
    <xf numFmtId="165" fontId="15" fillId="0" borderId="2" xfId="0" applyNumberFormat="1" applyFont="1" applyBorder="1" applyProtection="1">
      <alignment horizontal="center" vertical="center" wrapText="1"/>
    </xf>
    <xf numFmtId="165" fontId="5" fillId="0" borderId="2" xfId="0" applyNumberFormat="1" applyFont="1" applyBorder="1" applyProtection="1">
      <alignment horizontal="right" vertical="center" wrapText="1"/>
    </xf>
    <xf numFmtId="165" fontId="5" fillId="0" borderId="18" xfId="0" applyNumberFormat="1" applyFont="1" applyBorder="1" applyProtection="1">
      <alignment horizontal="center" vertical="center" wrapText="1"/>
    </xf>
    <xf numFmtId="165" fontId="15" fillId="0" borderId="18" xfId="0" applyNumberFormat="1" applyFont="1" applyBorder="1" applyProtection="1">
      <alignment horizontal="center" vertical="center" wrapText="1"/>
    </xf>
    <xf numFmtId="165" fontId="8" fillId="0" borderId="18" xfId="0" applyNumberFormat="1" applyFont="1" applyBorder="1" applyProtection="1">
      <alignment horizontal="left" vertical="center" wrapText="1"/>
    </xf>
    <xf numFmtId="165" fontId="15" fillId="0" borderId="9" xfId="0" applyNumberFormat="1" applyFont="1" applyBorder="1" applyProtection="1">
      <alignment horizontal="right" vertical="center" wrapText="1"/>
    </xf>
    <xf numFmtId="165" fontId="5" fillId="15" borderId="2" xfId="0" applyNumberFormat="1" applyFont="1" applyFill="1" applyBorder="1" applyProtection="1">
      <alignment horizontal="right" vertical="center" wrapText="1"/>
    </xf>
    <xf numFmtId="165" fontId="5" fillId="2" borderId="18" xfId="0" applyNumberFormat="1" applyFont="1" applyFill="1" applyBorder="1" applyProtection="1">
      <alignment horizontal="left" vertical="center" wrapText="1"/>
    </xf>
    <xf numFmtId="165" fontId="8" fillId="0" borderId="2" xfId="0" applyNumberFormat="1" applyFont="1" applyBorder="1" applyProtection="1">
      <alignment horizontal="right" vertical="center" wrapText="1"/>
    </xf>
    <xf numFmtId="165" fontId="8" fillId="0" borderId="2" xfId="0" applyNumberFormat="1" applyFont="1" applyBorder="1" applyProtection="1">
      <alignment horizontal="center" vertical="center" wrapText="1"/>
    </xf>
    <xf numFmtId="164" fontId="8" fillId="0" borderId="2" xfId="0" applyNumberFormat="1" applyFont="1" applyBorder="1" applyProtection="1">
      <alignment horizontal="right" vertical="center" wrapText="1"/>
    </xf>
    <xf numFmtId="164" fontId="5" fillId="0" borderId="18" xfId="0" applyNumberFormat="1" applyFont="1" applyBorder="1" applyProtection="1">
      <alignment horizontal="left" vertical="center" wrapText="1"/>
    </xf>
    <xf numFmtId="164" fontId="17" fillId="0" borderId="0" xfId="0" applyNumberFormat="1" applyFont="1">
      <alignment horizontal="center" vertical="center" wrapText="1"/>
    </xf>
    <xf numFmtId="165" fontId="15" fillId="17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right" vertical="center" wrapText="1"/>
    </xf>
    <xf numFmtId="165" fontId="5" fillId="0" borderId="2" xfId="0" applyNumberFormat="1" applyFont="1" applyBorder="1" applyProtection="1">
      <alignment horizontal="center" vertical="center" wrapText="1"/>
    </xf>
    <xf numFmtId="164" fontId="6" fillId="2" borderId="2" xfId="0" applyNumberFormat="1" applyFont="1" applyFill="1" applyBorder="1" applyProtection="1">
      <alignment horizontal="center" vertical="center" wrapText="1"/>
    </xf>
    <xf numFmtId="165" fontId="5" fillId="14" borderId="19" xfId="0" applyNumberFormat="1" applyFont="1" applyFill="1" applyBorder="1" applyProtection="1">
      <alignment horizontal="right" vertical="center" wrapText="1"/>
    </xf>
    <xf numFmtId="164" fontId="5" fillId="0" borderId="20" xfId="0" applyNumberFormat="1" applyFont="1" applyBorder="1" applyProtection="1">
      <alignment horizontal="right" vertical="center" wrapText="1"/>
    </xf>
    <xf numFmtId="165" fontId="5" fillId="0" borderId="0" xfId="0" applyNumberFormat="1" applyFont="1">
      <alignment horizontal="center" vertical="center" wrapText="1"/>
    </xf>
    <xf numFmtId="164" fontId="16" fillId="0" borderId="2" xfId="0" applyNumberFormat="1" applyFont="1" applyBorder="1" applyProtection="1">
      <alignment horizontal="center" vertical="center" wrapText="1"/>
    </xf>
    <xf numFmtId="166" fontId="5" fillId="0" borderId="2" xfId="0" applyNumberFormat="1" applyFont="1" applyBorder="1" applyProtection="1">
      <alignment horizontal="right" vertical="center" wrapText="1"/>
    </xf>
    <xf numFmtId="167" fontId="5" fillId="0" borderId="2" xfId="0" applyNumberFormat="1" applyFont="1" applyBorder="1" applyProtection="1">
      <alignment horizontal="right" vertical="center" wrapText="1"/>
    </xf>
    <xf numFmtId="168" fontId="5" fillId="4" borderId="2" xfId="0" applyNumberFormat="1" applyFont="1" applyFill="1" applyBorder="1" applyProtection="1">
      <alignment horizontal="right" vertical="center" wrapText="1"/>
    </xf>
    <xf numFmtId="164" fontId="16" fillId="0" borderId="2" xfId="0" applyNumberFormat="1" applyFont="1" applyBorder="1" applyProtection="1">
      <alignment horizontal="right" vertical="center" wrapText="1"/>
    </xf>
    <xf numFmtId="169" fontId="5" fillId="0" borderId="2" xfId="0" applyNumberFormat="1" applyFont="1" applyBorder="1" applyProtection="1">
      <alignment horizontal="right" vertical="center" wrapText="1"/>
    </xf>
    <xf numFmtId="170" fontId="5" fillId="4" borderId="2" xfId="0" applyNumberFormat="1" applyFont="1" applyFill="1" applyBorder="1" applyProtection="1">
      <alignment horizontal="right" vertical="center" wrapText="1"/>
    </xf>
    <xf numFmtId="164" fontId="5" fillId="0" borderId="0" xfId="0" applyNumberFormat="1" applyFont="1">
      <alignment horizontal="center" vertical="center"/>
    </xf>
    <xf numFmtId="164" fontId="7" fillId="0" borderId="2" xfId="0" applyNumberFormat="1" applyFont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 wrapText="1"/>
    </xf>
    <xf numFmtId="164" fontId="5" fillId="18" borderId="2" xfId="0" applyNumberFormat="1" applyFont="1" applyFill="1" applyBorder="1" applyProtection="1">
      <alignment horizontal="center" vertical="center"/>
    </xf>
    <xf numFmtId="164" fontId="5" fillId="19" borderId="2" xfId="0" applyNumberFormat="1" applyFont="1" applyFill="1" applyBorder="1" applyProtection="1">
      <alignment horizontal="center" vertical="center"/>
    </xf>
    <xf numFmtId="164" fontId="5" fillId="19" borderId="5" xfId="0" applyNumberFormat="1" applyFont="1" applyFill="1" applyBorder="1" applyProtection="1">
      <alignment horizontal="center" vertical="center"/>
    </xf>
    <xf numFmtId="164" fontId="5" fillId="19" borderId="6" xfId="0" applyNumberFormat="1" applyFont="1" applyFill="1" applyBorder="1" applyProtection="1">
      <alignment horizontal="center" vertical="center"/>
    </xf>
    <xf numFmtId="164" fontId="5" fillId="19" borderId="2" xfId="0" applyNumberFormat="1" applyFont="1" applyFill="1" applyBorder="1" applyProtection="1">
      <alignment horizontal="center" vertical="center"/>
    </xf>
    <xf numFmtId="164" fontId="5" fillId="19" borderId="2" xfId="0" applyNumberFormat="1" applyFont="1" applyFill="1" applyBorder="1" applyProtection="1">
      <alignment horizontal="center" vertical="center"/>
    </xf>
    <xf numFmtId="164" fontId="7" fillId="14" borderId="2" xfId="0" applyNumberFormat="1" applyFont="1" applyFill="1" applyBorder="1" applyProtection="1">
      <alignment horizontal="center" vertical="center" wrapText="1"/>
    </xf>
    <xf numFmtId="164" fontId="5" fillId="14" borderId="2" xfId="0" applyNumberFormat="1" applyFont="1" applyFill="1" applyBorder="1" applyProtection="1">
      <alignment horizontal="center" vertical="center" wrapText="1"/>
    </xf>
    <xf numFmtId="164" fontId="5" fillId="15" borderId="2" xfId="0" applyNumberFormat="1" applyFont="1" applyFill="1" applyBorder="1" applyProtection="1">
      <alignment horizontal="center" vertical="center"/>
    </xf>
    <xf numFmtId="164" fontId="5" fillId="15" borderId="7" xfId="0" applyNumberFormat="1" applyFont="1" applyFill="1" applyBorder="1" applyProtection="1">
      <alignment horizontal="center" vertical="center"/>
    </xf>
    <xf numFmtId="164" fontId="5" fillId="15" borderId="2" xfId="0" applyNumberFormat="1" applyFont="1" applyFill="1" applyBorder="1" applyProtection="1">
      <alignment horizontal="center" vertical="center"/>
    </xf>
    <xf numFmtId="164" fontId="5" fillId="20" borderId="7" xfId="0" applyNumberFormat="1" applyFont="1" applyFill="1" applyBorder="1" applyProtection="1">
      <alignment horizontal="center" vertical="center"/>
    </xf>
    <xf numFmtId="164" fontId="8" fillId="14" borderId="2" xfId="0" applyNumberFormat="1" applyFont="1" applyFill="1" applyBorder="1" applyProtection="1">
      <alignment horizontal="center" vertical="center" wrapText="1"/>
    </xf>
    <xf numFmtId="164" fontId="18" fillId="14" borderId="2" xfId="0" applyNumberFormat="1" applyFont="1" applyFill="1" applyBorder="1" applyProtection="1">
      <alignment horizontal="center" vertical="center" wrapText="1"/>
    </xf>
    <xf numFmtId="164" fontId="8" fillId="0" borderId="2" xfId="0" applyNumberFormat="1" applyFont="1" applyBorder="1" applyProtection="1">
      <alignment horizontal="center" vertical="center" wrapText="1"/>
    </xf>
    <xf numFmtId="164" fontId="18" fillId="0" borderId="2" xfId="0" applyNumberFormat="1" applyFont="1" applyBorder="1" applyProtection="1">
      <alignment horizontal="center" vertical="center" wrapText="1"/>
    </xf>
    <xf numFmtId="164" fontId="6" fillId="21" borderId="16" xfId="0" applyNumberFormat="1" applyFont="1" applyFill="1" applyBorder="1" applyProtection="1">
      <alignment horizontal="center" vertical="center" wrapText="1"/>
    </xf>
    <xf numFmtId="164" fontId="6" fillId="21" borderId="19" xfId="0" applyNumberFormat="1" applyFont="1" applyFill="1" applyBorder="1" applyProtection="1">
      <alignment horizontal="center" vertical="center" wrapText="1"/>
    </xf>
    <xf numFmtId="164" fontId="6" fillId="21" borderId="19" xfId="0" applyNumberFormat="1" applyFont="1" applyFill="1" applyBorder="1" applyProtection="1">
      <alignment horizontal="center" vertical="center" wrapText="1"/>
    </xf>
    <xf numFmtId="164" fontId="6" fillId="21" borderId="19" xfId="0" applyNumberFormat="1" applyFont="1" applyFill="1" applyBorder="1" applyProtection="1">
      <alignment horizontal="center" vertical="center" wrapText="1"/>
    </xf>
    <xf numFmtId="164" fontId="6" fillId="21" borderId="19" xfId="0" applyNumberFormat="1" applyFont="1" applyFill="1" applyBorder="1" applyProtection="1">
      <alignment horizontal="center" vertical="center" wrapText="1"/>
    </xf>
    <xf numFmtId="164" fontId="6" fillId="21" borderId="19" xfId="0" applyNumberFormat="1" applyFont="1" applyFill="1" applyBorder="1" applyProtection="1">
      <alignment horizontal="center" vertical="center" wrapText="1"/>
    </xf>
    <xf numFmtId="164" fontId="6" fillId="21" borderId="19" xfId="0" applyNumberFormat="1" applyFont="1" applyFill="1" applyBorder="1" applyProtection="1">
      <alignment horizontal="center" vertical="center" wrapText="1"/>
    </xf>
    <xf numFmtId="164" fontId="6" fillId="21" borderId="19" xfId="0" applyNumberFormat="1" applyFont="1" applyFill="1" applyBorder="1" applyProtection="1">
      <alignment horizontal="center" vertical="center" wrapText="1"/>
    </xf>
    <xf numFmtId="164" fontId="6" fillId="21" borderId="19" xfId="0" applyNumberFormat="1" applyFont="1" applyFill="1" applyBorder="1" applyProtection="1">
      <alignment horizontal="center" vertical="center" wrapText="1"/>
    </xf>
    <xf numFmtId="164" fontId="6" fillId="21" borderId="19" xfId="0" applyNumberFormat="1" applyFont="1" applyFill="1" applyBorder="1" applyProtection="1">
      <alignment horizontal="center" vertical="center" wrapText="1"/>
    </xf>
    <xf numFmtId="164" fontId="6" fillId="21" borderId="19" xfId="0" applyNumberFormat="1" applyFont="1" applyFill="1" applyBorder="1" applyProtection="1">
      <alignment horizontal="center" vertical="center" wrapText="1"/>
    </xf>
    <xf numFmtId="164" fontId="6" fillId="21" borderId="20" xfId="0" applyNumberFormat="1" applyFont="1" applyFill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4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4" borderId="2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5" fontId="15" fillId="17" borderId="9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left" vertical="center" wrapText="1"/>
    </xf>
    <xf numFmtId="164" fontId="5" fillId="19" borderId="2" xfId="0" applyNumberFormat="1" applyFont="1" applyFill="1" applyBorder="1" applyProtection="1">
      <alignment horizontal="center" vertical="center" wrapText="1"/>
    </xf>
    <xf numFmtId="164" fontId="5" fillId="9" borderId="2" xfId="0" applyNumberFormat="1" applyFont="1" applyFill="1" applyBorder="1" applyProtection="1">
      <alignment horizontal="center" vertical="center" wrapText="1"/>
    </xf>
    <xf numFmtId="164" fontId="5" fillId="15" borderId="2" xfId="0" applyNumberFormat="1" applyFont="1" applyFill="1" applyBorder="1" applyProtection="1">
      <alignment horizontal="center" vertical="center"/>
    </xf>
    <xf numFmtId="164" fontId="5" fillId="7" borderId="2" xfId="0" applyNumberFormat="1" applyFont="1" applyFill="1" applyBorder="1" applyProtection="1">
      <alignment horizontal="center" vertical="center" wrapText="1"/>
    </xf>
    <xf numFmtId="164" fontId="5" fillId="14" borderId="9" xfId="0" applyNumberFormat="1" applyFont="1" applyFill="1" applyBorder="1" applyProtection="1">
      <alignment horizontal="center" vertical="center"/>
    </xf>
    <xf numFmtId="164" fontId="5" fillId="18" borderId="2" xfId="0" applyNumberFormat="1" applyFont="1" applyFill="1" applyBorder="1" applyProtection="1">
      <alignment horizontal="center" vertical="center"/>
    </xf>
    <xf numFmtId="164" fontId="5" fillId="19" borderId="2" xfId="0" applyNumberFormat="1" applyFont="1" applyFill="1" applyBorder="1" applyProtection="1">
      <alignment horizontal="center" vertical="center"/>
    </xf>
    <xf numFmtId="164" fontId="19" fillId="14" borderId="2" xfId="0" applyNumberFormat="1" applyFont="1" applyFill="1" applyBorder="1" applyProtection="1">
      <alignment horizontal="center" vertical="center" wrapText="1"/>
    </xf>
    <xf numFmtId="164" fontId="19" fillId="0" borderId="2" xfId="0" applyNumberFormat="1" applyFont="1" applyBorder="1" applyProtection="1">
      <alignment horizontal="center" vertical="center" wrapText="1"/>
    </xf>
    <xf numFmtId="164" fontId="20" fillId="7" borderId="2" xfId="0" applyNumberFormat="1" applyFont="1" applyFill="1" applyBorder="1" applyProtection="1">
      <alignment horizontal="center" vertical="center" wrapText="1"/>
    </xf>
    <xf numFmtId="164" fontId="20" fillId="0" borderId="2" xfId="0" applyNumberFormat="1" applyFont="1" applyBorder="1" applyProtection="1">
      <alignment horizontal="center" vertical="center" wrapText="1"/>
    </xf>
    <xf numFmtId="164" fontId="20" fillId="14" borderId="2" xfId="0" applyNumberFormat="1" applyFont="1" applyFill="1" applyBorder="1" applyProtection="1">
      <alignment horizontal="center" vertical="center" wrapText="1"/>
    </xf>
    <xf numFmtId="171" fontId="9" fillId="0" borderId="0" xfId="0" applyNumberFormat="1" applyFont="1">
      <alignment horizontal="center" vertical="center"/>
    </xf>
    <xf numFmtId="171" fontId="4" fillId="2" borderId="1" xfId="0" applyNumberFormat="1" applyFont="1" applyFill="1" applyBorder="1" applyProtection="1">
      <alignment horizontal="center" vertical="center"/>
    </xf>
    <xf numFmtId="171" fontId="4" fillId="2" borderId="2" xfId="0" applyNumberFormat="1" applyFont="1" applyFill="1" applyBorder="1" applyProtection="1">
      <alignment horizontal="center" vertical="center"/>
    </xf>
    <xf numFmtId="171" fontId="4" fillId="2" borderId="5" xfId="0" applyNumberFormat="1" applyFont="1" applyFill="1" applyBorder="1" applyProtection="1">
      <alignment horizontal="center" vertical="center"/>
    </xf>
    <xf numFmtId="171" fontId="4" fillId="2" borderId="6" xfId="0" applyNumberFormat="1" applyFont="1" applyFill="1" applyBorder="1" applyProtection="1">
      <alignment horizontal="center" vertical="center"/>
    </xf>
    <xf numFmtId="165" fontId="5" fillId="0" borderId="5" xfId="0" applyNumberFormat="1" applyFont="1" applyBorder="1" applyProtection="1">
      <alignment horizontal="right" vertical="center" wrapText="1"/>
    </xf>
    <xf numFmtId="165" fontId="5" fillId="0" borderId="9" xfId="0" applyNumberFormat="1" applyFont="1" applyBorder="1" applyProtection="1">
      <alignment horizontal="righ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16" fillId="21" borderId="13" xfId="0" applyNumberFormat="1" applyFont="1" applyFill="1" applyBorder="1" applyProtection="1">
      <alignment horizontal="center" vertical="center" wrapText="1"/>
    </xf>
    <xf numFmtId="164" fontId="16" fillId="21" borderId="14" xfId="0" applyNumberFormat="1" applyFont="1" applyFill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6" fillId="2" borderId="2" xfId="0" applyNumberFormat="1" applyFont="1" applyFill="1" applyBorder="1" applyProtection="1">
      <alignment horizontal="righ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 wrapText="1"/>
    </xf>
    <xf numFmtId="164" fontId="5" fillId="0" borderId="3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16" fillId="0" borderId="14" xfId="0" applyNumberFormat="1" applyFont="1" applyBorder="1" applyProtection="1">
      <alignment horizontal="center" vertical="center" wrapText="1"/>
    </xf>
    <xf numFmtId="164" fontId="16" fillId="0" borderId="14" xfId="0" applyNumberFormat="1" applyFont="1" applyBorder="1" applyProtection="1">
      <alignment horizontal="center" vertical="center" wrapText="1"/>
    </xf>
    <xf numFmtId="164" fontId="16" fillId="0" borderId="17" xfId="0" applyNumberFormat="1" applyFont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 wrapText="1"/>
    </xf>
    <xf numFmtId="164" fontId="16" fillId="22" borderId="19" xfId="0" applyNumberFormat="1" applyFont="1" applyFill="1" applyBorder="1" applyProtection="1">
      <alignment horizontal="right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8" fillId="0" borderId="5" xfId="0" applyNumberFormat="1" applyFont="1" applyBorder="1" applyProtection="1">
      <alignment horizontal="center" vertical="center" wrapText="1"/>
    </xf>
    <xf numFmtId="164" fontId="9" fillId="0" borderId="2" xfId="0" applyNumberFormat="1" applyFont="1" applyBorder="1" applyProtection="1">
      <alignment horizontal="left" vertical="center"/>
    </xf>
    <xf numFmtId="171" fontId="4" fillId="2" borderId="2" xfId="0" applyNumberFormat="1" applyFont="1" applyFill="1" applyBorder="1" applyProtection="1">
      <alignment horizontal="center" vertical="center"/>
    </xf>
    <xf numFmtId="171" fontId="4" fillId="2" borderId="5" xfId="0" applyNumberFormat="1" applyFont="1" applyFill="1" applyBorder="1" applyProtection="1">
      <alignment horizontal="center" vertical="center"/>
    </xf>
    <xf numFmtId="164" fontId="5" fillId="2" borderId="5" xfId="0" applyNumberFormat="1" applyFont="1" applyFill="1" applyBorder="1" applyProtection="1">
      <alignment horizontal="center" vertical="center" wrapText="1"/>
    </xf>
    <xf numFmtId="164" fontId="5" fillId="2" borderId="3" xfId="0" applyNumberFormat="1" applyFont="1" applyFill="1" applyBorder="1" applyProtection="1">
      <alignment horizontal="center" vertical="center" wrapText="1"/>
    </xf>
    <xf numFmtId="164" fontId="5" fillId="3" borderId="5" xfId="0" applyNumberFormat="1" applyFont="1" applyFill="1" applyBorder="1" applyProtection="1">
      <alignment horizontal="center" vertical="center" wrapText="1"/>
    </xf>
    <xf numFmtId="164" fontId="5" fillId="3" borderId="3" xfId="0" applyNumberFormat="1" applyFont="1" applyFill="1" applyBorder="1" applyProtection="1">
      <alignment horizontal="center" vertical="center" wrapText="1"/>
    </xf>
    <xf numFmtId="171" fontId="4" fillId="2" borderId="1" xfId="0" applyNumberFormat="1" applyFont="1" applyFill="1" applyBorder="1" applyProtection="1">
      <alignment horizontal="center" vertical="center"/>
    </xf>
    <xf numFmtId="164" fontId="5" fillId="3" borderId="9" xfId="0" applyNumberFormat="1" applyFont="1" applyFill="1" applyBorder="1" applyProtection="1">
      <alignment horizontal="center" vertical="center" wrapText="1"/>
    </xf>
    <xf numFmtId="164" fontId="6" fillId="2" borderId="2" xfId="0" applyNumberFormat="1" applyFont="1" applyFill="1" applyBorder="1" applyProtection="1">
      <alignment horizontal="center" vertical="center"/>
    </xf>
    <xf numFmtId="164" fontId="5" fillId="2" borderId="9" xfId="0" applyNumberFormat="1" applyFont="1" applyFill="1" applyBorder="1" applyProtection="1">
      <alignment horizontal="center" vertical="center" wrapText="1"/>
    </xf>
    <xf numFmtId="164" fontId="16" fillId="0" borderId="21" xfId="0" applyNumberFormat="1" applyFont="1" applyBorder="1" applyProtection="1">
      <alignment horizontal="center" vertical="center"/>
    </xf>
    <xf numFmtId="164" fontId="16" fillId="0" borderId="0" xfId="0" applyNumberFormat="1" applyFont="1">
      <alignment horizontal="center" vertical="center"/>
    </xf>
    <xf numFmtId="164" fontId="4" fillId="2" borderId="5" xfId="0" applyNumberFormat="1" applyFont="1" applyFill="1" applyBorder="1" applyProtection="1">
      <alignment horizontal="center" vertical="center"/>
    </xf>
    <xf numFmtId="164" fontId="4" fillId="2" borderId="1" xfId="0" applyNumberFormat="1" applyFont="1" applyFill="1" applyBorder="1" applyProtection="1">
      <alignment horizontal="center" vertical="center"/>
    </xf>
    <xf numFmtId="164" fontId="4" fillId="2" borderId="2" xfId="0" applyNumberFormat="1" applyFont="1" applyFill="1" applyBorder="1" applyProtection="1">
      <alignment horizontal="center" vertical="center"/>
    </xf>
    <xf numFmtId="164" fontId="5" fillId="7" borderId="0" xfId="0" applyNumberFormat="1" applyFont="1" applyFill="1">
      <alignment horizontal="center" vertical="center"/>
    </xf>
    <xf numFmtId="164" fontId="5" fillId="7" borderId="2" xfId="0" applyNumberFormat="1" applyFont="1" applyFill="1" applyBorder="1" applyProtection="1">
      <alignment horizontal="center" vertical="center"/>
    </xf>
    <xf numFmtId="164" fontId="5" fillId="23" borderId="2" xfId="0" applyNumberFormat="1" applyFont="1" applyFill="1" applyBorder="1" applyProtection="1">
      <alignment horizontal="center" vertical="center"/>
    </xf>
    <xf numFmtId="164" fontId="21" fillId="21" borderId="13" xfId="0" applyNumberFormat="1" applyFont="1" applyFill="1" applyBorder="1" applyProtection="1">
      <alignment horizontal="center" vertical="center" wrapText="1"/>
    </xf>
    <xf numFmtId="164" fontId="22" fillId="0" borderId="14" xfId="0" applyNumberFormat="1" applyFont="1" applyBorder="1" applyProtection="1">
      <alignment horizontal="center" vertical="center" wrapText="1"/>
    </xf>
    <xf numFmtId="164" fontId="23" fillId="21" borderId="16" xfId="0" applyNumberFormat="1" applyFont="1" applyFill="1" applyBorder="1" applyProtection="1">
      <alignment horizontal="center" vertical="center" wrapText="1"/>
    </xf>
    <xf numFmtId="164" fontId="24" fillId="21" borderId="19" xfId="0" applyNumberFormat="1" applyFont="1" applyFill="1" applyBorder="1" applyProtection="1">
      <alignment horizontal="center" vertical="center" wrapText="1"/>
    </xf>
    <xf numFmtId="164" fontId="25" fillId="21" borderId="19" xfId="0" applyNumberFormat="1" applyFont="1" applyFill="1" applyBorder="1" applyProtection="1">
      <alignment horizontal="center" vertical="center" wrapText="1"/>
    </xf>
    <xf numFmtId="164" fontId="26" fillId="21" borderId="19" xfId="0" applyNumberFormat="1" applyFont="1" applyFill="1" applyBorder="1" applyProtection="1">
      <alignment horizontal="center" vertical="center" wrapText="1"/>
    </xf>
    <xf numFmtId="164" fontId="27" fillId="21" borderId="19" xfId="0" applyNumberFormat="1" applyFont="1" applyFill="1" applyBorder="1" applyProtection="1">
      <alignment horizontal="center" vertical="center" wrapText="1"/>
    </xf>
    <xf numFmtId="164" fontId="28" fillId="21" borderId="19" xfId="0" applyNumberFormat="1" applyFont="1" applyFill="1" applyBorder="1" applyProtection="1">
      <alignment horizontal="center" vertical="center" wrapText="1"/>
    </xf>
    <xf numFmtId="164" fontId="29" fillId="21" borderId="19" xfId="0" applyNumberFormat="1" applyFont="1" applyFill="1" applyBorder="1" applyProtection="1">
      <alignment horizontal="center" vertical="center" wrapText="1"/>
    </xf>
    <xf numFmtId="164" fontId="30" fillId="21" borderId="19" xfId="0" applyNumberFormat="1" applyFont="1" applyFill="1" applyBorder="1" applyProtection="1">
      <alignment horizontal="center" vertical="center" wrapText="1"/>
    </xf>
    <xf numFmtId="164" fontId="31" fillId="21" borderId="19" xfId="0" applyNumberFormat="1" applyFont="1" applyFill="1" applyBorder="1" applyProtection="1">
      <alignment horizontal="center" vertical="center" wrapText="1"/>
    </xf>
    <xf numFmtId="164" fontId="32" fillId="21" borderId="19" xfId="0" applyNumberFormat="1" applyFont="1" applyFill="1" applyBorder="1" applyProtection="1">
      <alignment horizontal="center" vertical="center" wrapText="1"/>
    </xf>
    <xf numFmtId="164" fontId="33" fillId="21" borderId="19" xfId="0" applyNumberFormat="1" applyFont="1" applyFill="1" applyBorder="1" applyProtection="1">
      <alignment horizontal="center" vertical="center" wrapText="1"/>
    </xf>
    <xf numFmtId="164" fontId="34" fillId="21" borderId="20" xfId="0" applyNumberFormat="1" applyFont="1" applyFill="1" applyBorder="1" applyProtection="1">
      <alignment horizontal="center" vertical="center" wrapText="1"/>
    </xf>
    <xf numFmtId="164" fontId="35" fillId="0" borderId="14" xfId="0" applyNumberFormat="1" applyFont="1" applyBorder="1" applyProtection="1">
      <alignment horizontal="center" vertical="center" wrapText="1"/>
    </xf>
    <xf numFmtId="164" fontId="36" fillId="0" borderId="14" xfId="0" applyNumberFormat="1" applyFont="1" applyBorder="1" applyProtection="1">
      <alignment horizontal="center" vertical="center" wrapText="1"/>
    </xf>
    <xf numFmtId="164" fontId="37" fillId="0" borderId="14" xfId="0" applyNumberFormat="1" applyFont="1" applyBorder="1" applyProtection="1">
      <alignment horizontal="center" vertical="center" wrapText="1"/>
    </xf>
    <xf numFmtId="164" fontId="38" fillId="0" borderId="9" xfId="0" applyNumberFormat="1" applyFont="1" applyBorder="1" applyProtection="1">
      <alignment horizontal="center" vertical="center" wrapText="1"/>
    </xf>
    <xf numFmtId="164" fontId="39" fillId="0" borderId="9" xfId="0" applyNumberFormat="1" applyFont="1" applyBorder="1" applyProtection="1">
      <alignment horizontal="center" vertical="center" wrapText="1"/>
    </xf>
    <xf numFmtId="164" fontId="40" fillId="4" borderId="2" xfId="0" applyNumberFormat="1" applyFont="1" applyFill="1" applyBorder="1" applyProtection="1">
      <alignment horizontal="center" vertical="center" wrapText="1"/>
    </xf>
    <xf numFmtId="164" fontId="41" fillId="0" borderId="2" xfId="0" applyNumberFormat="1" applyFont="1" applyBorder="1" applyProtection="1">
      <alignment horizontal="left" vertical="center" wrapText="1"/>
    </xf>
    <xf numFmtId="164" fontId="42" fillId="0" borderId="9" xfId="0" applyNumberFormat="1" applyFont="1" applyBorder="1" applyProtection="1">
      <alignment horizontal="center" vertical="center" wrapText="1"/>
    </xf>
    <xf numFmtId="164" fontId="43" fillId="4" borderId="2" xfId="0" applyNumberFormat="1" applyFont="1" applyFill="1" applyBorder="1" applyProtection="1">
      <alignment horizontal="center" vertical="center" wrapText="1"/>
    </xf>
    <xf numFmtId="164" fontId="44" fillId="0" borderId="2" xfId="0" applyNumberFormat="1" applyFont="1" applyBorder="1" applyProtection="1">
      <alignment horizontal="center" vertical="center" wrapText="1"/>
    </xf>
    <xf numFmtId="164" fontId="45" fillId="0" borderId="2" xfId="0" applyNumberFormat="1" applyFont="1" applyBorder="1" applyProtection="1">
      <alignment horizontal="center" vertical="center" wrapText="1"/>
    </xf>
    <xf numFmtId="164" fontId="46" fillId="0" borderId="2" xfId="0" applyNumberFormat="1" applyFont="1" applyBorder="1" applyProtection="1">
      <alignment horizontal="center" vertical="center" wrapText="1"/>
    </xf>
    <xf numFmtId="164" fontId="47" fillId="0" borderId="2" xfId="0" applyNumberFormat="1" applyFont="1" applyBorder="1" applyProtection="1">
      <alignment horizontal="center" vertical="center" wrapText="1"/>
    </xf>
    <xf numFmtId="164" fontId="48" fillId="0" borderId="2" xfId="0" applyNumberFormat="1" applyFont="1" applyBorder="1" applyProtection="1">
      <alignment horizontal="center" vertical="center" wrapText="1"/>
    </xf>
    <xf numFmtId="164" fontId="49" fillId="0" borderId="2" xfId="0" applyNumberFormat="1" applyFont="1" applyBorder="1" applyProtection="1">
      <alignment horizontal="center" vertical="center" wrapText="1"/>
    </xf>
    <xf numFmtId="164" fontId="50" fillId="0" borderId="2" xfId="0" applyNumberFormat="1" applyFont="1" applyBorder="1" applyProtection="1">
      <alignment horizontal="left" vertical="center" wrapText="1"/>
    </xf>
    <xf numFmtId="164" fontId="51" fillId="0" borderId="2" xfId="0" applyNumberFormat="1" applyFont="1" applyBorder="1" applyProtection="1">
      <alignment horizontal="center" vertical="center" wrapText="1"/>
    </xf>
    <xf numFmtId="164" fontId="52" fillId="0" borderId="2" xfId="0" applyNumberFormat="1" applyFont="1" applyBorder="1" applyProtection="1">
      <alignment horizontal="center" vertical="center" wrapText="1"/>
    </xf>
    <xf numFmtId="164" fontId="53" fillId="0" borderId="2" xfId="0" applyNumberFormat="1" applyFont="1" applyBorder="1" applyProtection="1">
      <alignment horizontal="left" vertical="center" wrapText="1"/>
    </xf>
    <xf numFmtId="164" fontId="54" fillId="0" borderId="2" xfId="0" applyNumberFormat="1" applyFont="1" applyBorder="1" applyProtection="1">
      <alignment horizontal="center" vertical="center" wrapText="1"/>
    </xf>
    <xf numFmtId="164" fontId="55" fillId="0" borderId="2" xfId="0" applyNumberFormat="1" applyFont="1" applyBorder="1" applyProtection="1">
      <alignment horizontal="center" vertical="center" wrapText="1"/>
    </xf>
    <xf numFmtId="164" fontId="56" fillId="0" borderId="2" xfId="0" applyNumberFormat="1" applyFont="1" applyBorder="1" applyProtection="1">
      <alignment horizontal="left" vertical="center" wrapText="1"/>
    </xf>
    <xf numFmtId="164" fontId="57" fillId="0" borderId="2" xfId="0" applyNumberFormat="1" applyFont="1" applyBorder="1" applyProtection="1">
      <alignment horizontal="center" vertical="center" wrapText="1"/>
    </xf>
    <xf numFmtId="164" fontId="58" fillId="0" borderId="9" xfId="0" applyNumberFormat="1" applyFont="1" applyBorder="1" applyProtection="1">
      <alignment horizontal="center" vertical="center" wrapText="1"/>
    </xf>
    <xf numFmtId="164" fontId="59" fillId="0" borderId="9" xfId="0" applyNumberFormat="1" applyFont="1" applyBorder="1" applyProtection="1">
      <alignment horizontal="center" vertical="center" wrapText="1"/>
    </xf>
    <xf numFmtId="164" fontId="60" fillId="0" borderId="9" xfId="0" applyNumberFormat="1" applyFont="1" applyBorder="1" applyProtection="1">
      <alignment horizontal="center" vertical="center" wrapText="1"/>
    </xf>
    <xf numFmtId="164" fontId="61" fillId="0" borderId="9" xfId="0" applyNumberFormat="1" applyFont="1" applyBorder="1" applyProtection="1">
      <alignment horizontal="center" vertical="center" wrapText="1"/>
    </xf>
    <xf numFmtId="164" fontId="62" fillId="0" borderId="9" xfId="0" applyNumberFormat="1" applyFont="1" applyBorder="1" applyProtection="1">
      <alignment horizontal="center" vertical="center" wrapText="1"/>
    </xf>
    <xf numFmtId="164" fontId="63" fillId="0" borderId="9" xfId="0" applyNumberFormat="1" applyFont="1" applyBorder="1" applyProtection="1">
      <alignment horizontal="center" vertical="center" wrapText="1"/>
    </xf>
    <xf numFmtId="164" fontId="64" fillId="0" borderId="2" xfId="0" applyNumberFormat="1" applyFont="1" applyBorder="1" applyProtection="1">
      <alignment horizontal="center" vertical="center" wrapText="1"/>
    </xf>
    <xf numFmtId="164" fontId="65" fillId="0" borderId="2" xfId="0" applyNumberFormat="1" applyFont="1" applyBorder="1" applyProtection="1">
      <alignment horizontal="center" vertical="center" wrapText="1"/>
    </xf>
    <xf numFmtId="164" fontId="66" fillId="0" borderId="2" xfId="0" applyNumberFormat="1" applyFont="1" applyBorder="1" applyProtection="1">
      <alignment horizontal="left" vertical="center" wrapText="1"/>
    </xf>
    <xf numFmtId="164" fontId="67" fillId="0" borderId="2" xfId="0" applyNumberFormat="1" applyFont="1" applyBorder="1" applyProtection="1">
      <alignment horizontal="center" vertical="center" wrapText="1"/>
    </xf>
    <xf numFmtId="164" fontId="68" fillId="0" borderId="2" xfId="0" applyNumberFormat="1" applyFont="1" applyBorder="1" applyProtection="1">
      <alignment horizontal="center" vertical="center" wrapText="1"/>
    </xf>
    <xf numFmtId="164" fontId="69" fillId="0" borderId="2" xfId="0" applyNumberFormat="1" applyFont="1" applyBorder="1" applyProtection="1">
      <alignment horizontal="center" vertical="center" wrapText="1"/>
    </xf>
    <xf numFmtId="164" fontId="70" fillId="0" borderId="5" xfId="0" applyNumberFormat="1" applyFont="1" applyBorder="1" applyProtection="1">
      <alignment horizontal="center" vertical="center" wrapText="1"/>
    </xf>
    <xf numFmtId="164" fontId="71" fillId="0" borderId="2" xfId="0" applyNumberFormat="1" applyFont="1" applyBorder="1" applyProtection="1">
      <alignment horizontal="center" vertical="center" wrapText="1"/>
    </xf>
    <xf numFmtId="164" fontId="72" fillId="0" borderId="2" xfId="0" applyNumberFormat="1" applyFont="1" applyBorder="1" applyProtection="1">
      <alignment horizontal="center" vertical="center" wrapText="1"/>
    </xf>
    <xf numFmtId="164" fontId="73" fillId="0" borderId="2" xfId="0" applyNumberFormat="1" applyFont="1" applyBorder="1" applyProtection="1">
      <alignment horizontal="center" vertical="center" wrapText="1"/>
    </xf>
    <xf numFmtId="164" fontId="74" fillId="0" borderId="2" xfId="0" applyNumberFormat="1" applyFont="1" applyBorder="1" applyProtection="1">
      <alignment horizontal="center" vertical="center" wrapText="1"/>
    </xf>
    <xf numFmtId="164" fontId="75" fillId="0" borderId="2" xfId="0" applyNumberFormat="1" applyFont="1" applyBorder="1" applyProtection="1">
      <alignment horizontal="center" vertical="center" wrapText="1"/>
    </xf>
    <xf numFmtId="164" fontId="76" fillId="0" borderId="2" xfId="0" applyNumberFormat="1" applyFont="1" applyBorder="1" applyProtection="1">
      <alignment horizontal="center" vertical="center" wrapText="1"/>
    </xf>
    <xf numFmtId="165" fontId="77" fillId="17" borderId="9" xfId="0" applyNumberFormat="1" applyFont="1" applyFill="1" applyBorder="1" applyProtection="1">
      <alignment horizontal="center" vertical="center" wrapText="1"/>
    </xf>
    <xf numFmtId="164" fontId="78" fillId="0" borderId="2" xfId="0" applyNumberFormat="1" applyFont="1" applyBorder="1" applyProtection="1">
      <alignment horizontal="center" vertical="center" wrapText="1"/>
    </xf>
    <xf numFmtId="164" fontId="79" fillId="0" borderId="2" xfId="0" applyNumberFormat="1" applyFont="1" applyBorder="1" applyProtection="1">
      <alignment horizontal="center" vertical="center" wrapText="1"/>
    </xf>
    <xf numFmtId="164" fontId="80" fillId="0" borderId="2" xfId="0" applyNumberFormat="1" applyFont="1" applyBorder="1" applyProtection="1">
      <alignment horizontal="center" vertical="center" wrapText="1"/>
    </xf>
    <xf numFmtId="164" fontId="81" fillId="0" borderId="2" xfId="0" applyNumberFormat="1" applyFont="1" applyBorder="1" applyProtection="1">
      <alignment horizontal="center" vertical="center" wrapText="1"/>
    </xf>
    <xf numFmtId="164" fontId="82" fillId="0" borderId="2" xfId="0" applyNumberFormat="1" applyFont="1" applyBorder="1" applyProtection="1">
      <alignment horizontal="left" vertical="center" wrapText="1"/>
    </xf>
    <xf numFmtId="164" fontId="83" fillId="0" borderId="2" xfId="0" applyNumberFormat="1" applyFont="1" applyBorder="1" applyProtection="1">
      <alignment horizontal="center" vertical="center" wrapText="1"/>
    </xf>
    <xf numFmtId="164" fontId="84" fillId="0" borderId="2" xfId="0" applyNumberFormat="1" applyFont="1" applyBorder="1" applyProtection="1">
      <alignment horizontal="center" vertical="center" wrapText="1"/>
    </xf>
    <xf numFmtId="164" fontId="85" fillId="0" borderId="2" xfId="0" applyNumberFormat="1" applyFont="1" applyBorder="1" applyProtection="1">
      <alignment horizontal="left" vertical="center" wrapText="1"/>
    </xf>
    <xf numFmtId="164" fontId="86" fillId="0" borderId="2" xfId="0" applyNumberFormat="1" applyFont="1" applyBorder="1" applyProtection="1">
      <alignment horizontal="center" vertical="center" wrapText="1"/>
    </xf>
    <xf numFmtId="164" fontId="87" fillId="0" borderId="2" xfId="0" applyNumberFormat="1" applyFont="1" applyBorder="1" applyProtection="1">
      <alignment horizontal="center" vertical="center" wrapText="1"/>
    </xf>
    <xf numFmtId="164" fontId="88" fillId="0" borderId="2" xfId="0" applyNumberFormat="1" applyFont="1" applyBorder="1" applyProtection="1">
      <alignment horizontal="left" vertical="center" wrapText="1"/>
    </xf>
    <xf numFmtId="164" fontId="89" fillId="0" borderId="2" xfId="0" applyNumberFormat="1" applyFont="1" applyBorder="1" applyProtection="1">
      <alignment horizontal="center" vertical="center" wrapText="1"/>
    </xf>
    <xf numFmtId="164" fontId="90" fillId="0" borderId="2" xfId="0" applyNumberFormat="1" applyFont="1" applyBorder="1" applyProtection="1">
      <alignment horizontal="center" vertical="center" wrapText="1"/>
    </xf>
    <xf numFmtId="164" fontId="91" fillId="0" borderId="2" xfId="0" applyNumberFormat="1" applyFont="1" applyBorder="1" applyProtection="1">
      <alignment horizontal="center" vertical="center" wrapText="1"/>
    </xf>
    <xf numFmtId="164" fontId="92" fillId="0" borderId="2" xfId="0" applyNumberFormat="1" applyFont="1" applyBorder="1" applyProtection="1">
      <alignment horizontal="center" vertical="center" wrapText="1"/>
    </xf>
    <xf numFmtId="164" fontId="93" fillId="0" borderId="2" xfId="0" applyNumberFormat="1" applyFont="1" applyBorder="1" applyProtection="1">
      <alignment horizontal="left" vertical="center" wrapText="1"/>
    </xf>
    <xf numFmtId="164" fontId="94" fillId="0" borderId="2" xfId="0" applyNumberFormat="1" applyFont="1" applyBorder="1" applyProtection="1">
      <alignment horizontal="center" vertical="center" wrapText="1"/>
    </xf>
    <xf numFmtId="164" fontId="95" fillId="0" borderId="5" xfId="0" applyNumberFormat="1" applyFont="1" applyBorder="1" applyProtection="1">
      <alignment horizontal="center" vertical="center" wrapText="1"/>
    </xf>
    <xf numFmtId="164" fontId="96" fillId="0" borderId="2" xfId="0" applyNumberFormat="1" applyFont="1" applyBorder="1" applyProtection="1">
      <alignment horizontal="center" vertical="center" wrapText="1"/>
    </xf>
    <xf numFmtId="164" fontId="97" fillId="0" borderId="2" xfId="0" applyNumberFormat="1" applyFont="1" applyBorder="1" applyProtection="1">
      <alignment horizontal="center" vertical="center" wrapText="1"/>
    </xf>
    <xf numFmtId="164" fontId="98" fillId="0" borderId="2" xfId="0" applyNumberFormat="1" applyFont="1" applyBorder="1" applyProtection="1">
      <alignment horizontal="center" vertical="center" wrapText="1"/>
    </xf>
    <xf numFmtId="164" fontId="99" fillId="0" borderId="2" xfId="0" applyNumberFormat="1" applyFont="1" applyBorder="1" applyProtection="1">
      <alignment horizontal="center" vertical="center" wrapText="1"/>
    </xf>
    <xf numFmtId="164" fontId="100" fillId="0" borderId="2" xfId="0" applyNumberFormat="1" applyFont="1" applyBorder="1" applyProtection="1">
      <alignment horizontal="center" vertical="center" wrapText="1"/>
    </xf>
    <xf numFmtId="164" fontId="101" fillId="0" borderId="2" xfId="0" applyNumberFormat="1" applyFont="1" applyBorder="1" applyProtection="1">
      <alignment horizontal="left" vertical="center" wrapText="1"/>
    </xf>
    <xf numFmtId="164" fontId="102" fillId="0" borderId="2" xfId="0" applyNumberFormat="1" applyFont="1" applyBorder="1" applyProtection="1">
      <alignment horizontal="center" vertical="center" wrapText="1"/>
    </xf>
    <xf numFmtId="164" fontId="103" fillId="0" borderId="2" xfId="0" applyNumberFormat="1" applyFont="1" applyBorder="1" applyProtection="1">
      <alignment horizontal="left" vertical="center" wrapText="1"/>
    </xf>
    <xf numFmtId="164" fontId="104" fillId="0" borderId="2" xfId="0" applyNumberFormat="1" applyFont="1" applyBorder="1" applyProtection="1">
      <alignment horizontal="center" vertical="center" wrapText="1"/>
    </xf>
    <xf numFmtId="164" fontId="105" fillId="0" borderId="2" xfId="0" applyNumberFormat="1" applyFont="1" applyBorder="1" applyProtection="1">
      <alignment horizontal="center" vertical="center" wrapText="1"/>
    </xf>
    <xf numFmtId="164" fontId="106" fillId="0" borderId="2" xfId="0" applyNumberFormat="1" applyFont="1" applyBorder="1" applyProtection="1">
      <alignment horizontal="left" vertical="center" wrapText="1"/>
    </xf>
    <xf numFmtId="164" fontId="107" fillId="0" borderId="2" xfId="0" applyNumberFormat="1" applyFont="1" applyBorder="1" applyProtection="1">
      <alignment horizontal="center" vertical="center" wrapText="1"/>
    </xf>
    <xf numFmtId="164" fontId="108" fillId="0" borderId="2" xfId="0" applyNumberFormat="1" applyFont="1" applyBorder="1" applyProtection="1">
      <alignment horizontal="left" vertical="center" wrapText="1"/>
    </xf>
    <xf numFmtId="164" fontId="109" fillId="0" borderId="2" xfId="0" applyNumberFormat="1" applyFont="1" applyBorder="1" applyProtection="1">
      <alignment horizontal="center" vertical="center" wrapText="1"/>
    </xf>
    <xf numFmtId="164" fontId="110" fillId="0" borderId="2" xfId="0" applyNumberFormat="1" applyFont="1" applyBorder="1" applyProtection="1">
      <alignment horizontal="left" vertical="center" wrapText="1"/>
    </xf>
    <xf numFmtId="164" fontId="111" fillId="19" borderId="2" xfId="0" applyNumberFormat="1" applyFont="1" applyFill="1" applyBorder="1" applyProtection="1">
      <alignment horizontal="center" vertical="center" wrapText="1"/>
    </xf>
    <xf numFmtId="164" fontId="112" fillId="9" borderId="2" xfId="0" applyNumberFormat="1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2</xdr:row>
      <xdr:rowOff>0</xdr:rowOff>
    </xdr:from>
    <xdr:ext cx="3886023" cy="53168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5762625" y="400050"/>
          <a:ext cx="3886023" cy="53168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
   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H3" activePane="bottomRight" state="frozen" xSplit="7" ySplit="2"/>
    </sheetView>
  </sheetViews>
  <sheetFormatPr baseColWidth="10" defaultColWidth="8.8330078125" defaultRowHeight="39.9525" customHeight="1"/>
  <cols>
    <col min="1" max="1" width="5.666015625" customWidth="1" style="130"/>
    <col min="2" max="2" width="22.998046875" customWidth="1" style="130"/>
    <col min="3" max="3" width="25.8310546875" customWidth="1" style="131"/>
    <col min="4" max="4" width="52.6640625" customWidth="1" style="131"/>
    <col min="5" max="5" width="8.33203125" customWidth="1" style="131"/>
    <col min="6" max="6" width="7.3330078125" customWidth="1" style="131"/>
    <col min="7" max="7" width="28.166015625" customWidth="1" style="131"/>
    <col min="8" max="8" width="12.498046875" customWidth="1" style="131"/>
    <col min="9" max="9" width="12.6650390625" customWidth="1" style="128"/>
    <col min="10" max="11" width="13.6640625" customWidth="1" style="132"/>
    <col min="12" max="12" width="20.666015625" customWidth="1" style="133"/>
    <col min="13" max="13" width="20.666015625" customWidth="1" style="130"/>
    <col min="14" max="25" width="8.8330078125" style="130"/>
    <col min="26" max="35" width="8.8330078125" style="134"/>
  </cols>
  <sheetData>
    <row r="1" ht="39.95" customHeight="1">
      <c r="A1" s="341" t="s">
        <v>0</v>
      </c>
      <c r="B1" s="306"/>
      <c r="C1" s="306"/>
      <c r="D1" s="306"/>
      <c r="E1" s="306"/>
      <c r="F1" s="306"/>
      <c r="G1" s="306"/>
      <c r="H1" s="306"/>
      <c r="I1" s="342" t="s">
        <v>1</v>
      </c>
      <c r="J1" s="315"/>
      <c r="K1" s="315"/>
      <c r="L1" s="316"/>
    </row>
    <row r="2" ht="44.45000000000001" customHeight="1">
      <c r="A2" s="343" t="s">
        <v>2</v>
      </c>
      <c r="B2" s="344" t="s">
        <v>3</v>
      </c>
      <c r="C2" s="345" t="s">
        <v>4</v>
      </c>
      <c r="D2" s="346" t="s">
        <v>5</v>
      </c>
      <c r="E2" s="347" t="s">
        <v>6</v>
      </c>
      <c r="F2" s="348" t="s">
        <v>7</v>
      </c>
      <c r="G2" s="349" t="s">
        <v>8</v>
      </c>
      <c r="H2" s="350" t="s">
        <v>9</v>
      </c>
      <c r="I2" s="351" t="s">
        <v>10</v>
      </c>
      <c r="J2" s="352" t="s">
        <v>11</v>
      </c>
      <c r="K2" s="353" t="s">
        <v>12</v>
      </c>
      <c r="L2" s="354" t="s">
        <v>9</v>
      </c>
      <c r="M2" s="130" t="s">
        <v>13</v>
      </c>
    </row>
    <row r="3" ht="51" customHeight="1">
      <c r="A3" s="135" t="n">
        <f>ROW()-2</f>
        <v>1</v>
      </c>
      <c r="B3" s="355" t="s">
        <v>14</v>
      </c>
      <c r="C3" s="356" t="s">
        <v>15</v>
      </c>
      <c r="D3" s="137" t="s">
        <v>16</v>
      </c>
      <c r="E3" s="136" t="n">
        <v>1</v>
      </c>
      <c r="F3" s="136" t="s">
        <v>17</v>
      </c>
      <c r="G3" s="357" t="s">
        <v>18</v>
      </c>
      <c r="H3" s="136" t="s">
        <v>19</v>
      </c>
      <c r="I3" s="149" t="n">
        <v>36000</v>
      </c>
      <c r="J3" s="150"/>
      <c r="K3" s="151" t="n">
        <f>I3*E3+J3</f>
        <v>36000</v>
      </c>
      <c r="L3" s="152"/>
      <c r="M3" s="130" t="s">
        <v>20</v>
      </c>
    </row>
    <row r="4" ht="54" customHeight="1">
      <c r="A4" s="138" t="n">
        <f>ROW()-2</f>
        <v>2</v>
      </c>
      <c r="B4" s="304"/>
      <c r="C4" s="358" t="s">
        <v>15</v>
      </c>
      <c r="D4" s="137" t="s">
        <v>21</v>
      </c>
      <c r="E4" s="140" t="n">
        <v>1</v>
      </c>
      <c r="F4" s="140" t="s">
        <v>17</v>
      </c>
      <c r="G4" s="359" t="s">
        <v>18</v>
      </c>
      <c r="H4" s="140" t="s">
        <v>19</v>
      </c>
      <c r="I4" s="153" t="n">
        <v>36000</v>
      </c>
      <c r="J4" s="154"/>
      <c r="K4" s="155" t="n">
        <f>I4*E4+J4</f>
        <v>36000</v>
      </c>
      <c r="L4" s="156"/>
      <c r="M4" s="130" t="s">
        <v>20</v>
      </c>
    </row>
    <row r="5" ht="39.95" customHeight="1">
      <c r="A5" s="138" t="n">
        <f>ROW()-2</f>
        <v>3</v>
      </c>
      <c r="B5" s="304"/>
      <c r="C5" s="360" t="s">
        <v>22</v>
      </c>
      <c r="D5" s="361" t="s">
        <v>23</v>
      </c>
      <c r="E5" s="140" t="n">
        <v>1</v>
      </c>
      <c r="F5" s="140" t="s">
        <v>17</v>
      </c>
      <c r="G5" s="362" t="s">
        <v>24</v>
      </c>
      <c r="H5" s="140" t="s">
        <v>19</v>
      </c>
      <c r="I5" s="153" t="n">
        <v>35000</v>
      </c>
      <c r="J5" s="154"/>
      <c r="K5" s="155" t="n">
        <f>I5*E5+J5</f>
        <v>35000</v>
      </c>
      <c r="L5" s="156"/>
      <c r="M5" s="130" t="s">
        <v>20</v>
      </c>
    </row>
    <row r="6" ht="52.5" customHeight="1">
      <c r="A6" s="138" t="n">
        <f>ROW()-2</f>
        <v>4</v>
      </c>
      <c r="B6" s="304"/>
      <c r="C6" s="363" t="s">
        <v>25</v>
      </c>
      <c r="D6" s="137" t="s">
        <v>26</v>
      </c>
      <c r="E6" s="139" t="n">
        <v>1</v>
      </c>
      <c r="F6" s="139" t="s">
        <v>17</v>
      </c>
      <c r="G6" s="364" t="s">
        <v>27</v>
      </c>
      <c r="H6" s="139" t="s">
        <v>19</v>
      </c>
      <c r="I6" s="157" t="n">
        <v>165000</v>
      </c>
      <c r="J6" s="154"/>
      <c r="K6" s="158" t="n">
        <f>I6*E6+J6</f>
        <v>165000</v>
      </c>
      <c r="L6" s="159" t="s">
        <v>28</v>
      </c>
      <c r="M6" s="130" t="s">
        <v>20</v>
      </c>
    </row>
    <row r="7" ht="59.25" customHeight="1">
      <c r="A7" s="138" t="n">
        <f>ROW()-2</f>
        <v>5</v>
      </c>
      <c r="B7" s="304"/>
      <c r="C7" s="365" t="s">
        <v>29</v>
      </c>
      <c r="D7" s="137" t="s">
        <v>30</v>
      </c>
      <c r="E7" s="139" t="n">
        <v>1</v>
      </c>
      <c r="F7" s="139" t="s">
        <v>17</v>
      </c>
      <c r="G7" s="366" t="s">
        <v>27</v>
      </c>
      <c r="H7" s="139" t="s">
        <v>19</v>
      </c>
      <c r="I7" s="157" t="n">
        <v>150000</v>
      </c>
      <c r="J7" s="154"/>
      <c r="K7" s="158" t="n">
        <f>I7*E7+J7</f>
        <v>150000</v>
      </c>
      <c r="L7" s="160" t="s">
        <v>31</v>
      </c>
      <c r="M7" s="130" t="s">
        <v>20</v>
      </c>
    </row>
    <row r="8" ht="59.25" customHeight="1">
      <c r="A8" s="138" t="n">
        <f>ROW()-2</f>
        <v>6</v>
      </c>
      <c r="B8" s="304"/>
      <c r="C8" s="367" t="s">
        <v>32</v>
      </c>
      <c r="D8" s="137" t="s">
        <v>33</v>
      </c>
      <c r="E8" s="139" t="n">
        <v>1</v>
      </c>
      <c r="F8" s="139" t="s">
        <v>17</v>
      </c>
      <c r="G8" s="368" t="s">
        <v>27</v>
      </c>
      <c r="H8" s="139" t="s">
        <v>19</v>
      </c>
      <c r="I8" s="157" t="n">
        <v>150000</v>
      </c>
      <c r="J8" s="154"/>
      <c r="K8" s="158" t="n">
        <f>I8*E8+J8</f>
        <v>150000</v>
      </c>
      <c r="L8" s="160" t="s">
        <v>31</v>
      </c>
      <c r="M8" s="130" t="s">
        <v>20</v>
      </c>
    </row>
    <row r="9" ht="39.95" customHeight="1">
      <c r="A9" s="138" t="n">
        <f>ROW()-2</f>
        <v>7</v>
      </c>
      <c r="B9" s="304"/>
      <c r="C9" s="369" t="s">
        <v>34</v>
      </c>
      <c r="D9" s="370" t="s">
        <v>35</v>
      </c>
      <c r="E9" s="139" t="n">
        <v>1</v>
      </c>
      <c r="F9" s="139" t="s">
        <v>17</v>
      </c>
      <c r="G9" s="371" t="s">
        <v>36</v>
      </c>
      <c r="H9" s="139" t="s">
        <v>19</v>
      </c>
      <c r="I9" s="157" t="n">
        <v>75000</v>
      </c>
      <c r="J9" s="154"/>
      <c r="K9" s="158" t="n">
        <f>I9*E9+J9</f>
        <v>75000</v>
      </c>
      <c r="L9" s="161"/>
      <c r="M9" s="130" t="s">
        <v>20</v>
      </c>
    </row>
    <row r="10" ht="39.95" customHeight="1">
      <c r="A10" s="138" t="n">
        <f>ROW()-2</f>
        <v>8</v>
      </c>
      <c r="B10" s="304"/>
      <c r="C10" s="372" t="s">
        <v>37</v>
      </c>
      <c r="D10" s="373" t="s">
        <v>38</v>
      </c>
      <c r="E10" s="139" t="n">
        <v>1</v>
      </c>
      <c r="F10" s="139" t="s">
        <v>17</v>
      </c>
      <c r="G10" s="374" t="s">
        <v>39</v>
      </c>
      <c r="H10" s="139" t="s">
        <v>19</v>
      </c>
      <c r="I10" s="157" t="n">
        <v>68000</v>
      </c>
      <c r="J10" s="154"/>
      <c r="K10" s="158" t="n">
        <f>I10*E10+J10</f>
        <v>68000</v>
      </c>
      <c r="L10" s="161"/>
      <c r="M10" s="130" t="s">
        <v>20</v>
      </c>
    </row>
    <row r="11" ht="39.95" customHeight="1">
      <c r="A11" s="138" t="n">
        <f>ROW()-2</f>
        <v>9</v>
      </c>
      <c r="B11" s="304"/>
      <c r="C11" s="375" t="s">
        <v>40</v>
      </c>
      <c r="D11" s="376" t="s">
        <v>41</v>
      </c>
      <c r="E11" s="139" t="n">
        <v>1</v>
      </c>
      <c r="F11" s="139" t="s">
        <v>17</v>
      </c>
      <c r="G11" s="377" t="s">
        <v>42</v>
      </c>
      <c r="H11" s="139" t="s">
        <v>19</v>
      </c>
      <c r="I11" s="157" t="n">
        <v>25000</v>
      </c>
      <c r="J11" s="154"/>
      <c r="K11" s="158" t="n">
        <f>I11*E11+J11</f>
        <v>25000</v>
      </c>
      <c r="L11" s="161"/>
      <c r="M11" s="130" t="s">
        <v>20</v>
      </c>
    </row>
    <row r="12" ht="55.5" customHeight="1">
      <c r="A12" s="138" t="n">
        <f>ROW()-2</f>
        <v>10</v>
      </c>
      <c r="B12" s="304"/>
      <c r="C12" s="378" t="s">
        <v>43</v>
      </c>
      <c r="D12" s="137" t="s">
        <v>16</v>
      </c>
      <c r="E12" s="140" t="n">
        <v>1</v>
      </c>
      <c r="F12" s="140" t="s">
        <v>17</v>
      </c>
      <c r="G12" s="379" t="s">
        <v>44</v>
      </c>
      <c r="H12" s="140" t="s">
        <v>19</v>
      </c>
      <c r="I12" s="153" t="n">
        <v>36000</v>
      </c>
      <c r="J12" s="154"/>
      <c r="K12" s="155" t="n">
        <f>I12*E12+J12</f>
        <v>36000</v>
      </c>
      <c r="L12" s="161"/>
      <c r="M12" s="130" t="s">
        <v>20</v>
      </c>
    </row>
    <row r="13" ht="55.5" customHeight="1">
      <c r="A13" s="138" t="n">
        <f>ROW()-2</f>
        <v>11</v>
      </c>
      <c r="B13" s="304"/>
      <c r="C13" s="380" t="s">
        <v>45</v>
      </c>
      <c r="D13" s="137"/>
      <c r="E13" s="140" t="n">
        <v>1</v>
      </c>
      <c r="F13" s="140" t="s">
        <v>46</v>
      </c>
      <c r="G13" s="381" t="s">
        <v>47</v>
      </c>
      <c r="H13" s="140"/>
      <c r="I13" s="153" t="n">
        <v>170000</v>
      </c>
      <c r="J13" s="162"/>
      <c r="K13" s="155" t="n">
        <f>I13*E13+J13</f>
        <v>170000</v>
      </c>
      <c r="L13" s="161"/>
      <c r="M13" s="130" t="s">
        <v>20</v>
      </c>
    </row>
    <row r="14" ht="55.5" customHeight="1">
      <c r="A14" s="138" t="n">
        <f>ROW()-2</f>
        <v>12</v>
      </c>
      <c r="B14" s="304"/>
      <c r="C14" s="382" t="s">
        <v>48</v>
      </c>
      <c r="D14" s="137"/>
      <c r="E14" s="140" t="n">
        <v>1</v>
      </c>
      <c r="F14" s="140" t="s">
        <v>46</v>
      </c>
      <c r="G14" s="383" t="s">
        <v>49</v>
      </c>
      <c r="H14" s="140"/>
      <c r="I14" s="143" t="n">
        <v>50000</v>
      </c>
      <c r="J14" s="162"/>
      <c r="K14" s="155" t="n">
        <f>I14*E14+J14</f>
        <v>50000</v>
      </c>
      <c r="L14" s="161"/>
      <c r="M14" s="130" t="s">
        <v>20</v>
      </c>
    </row>
    <row r="15" ht="39.95" customHeight="1">
      <c r="A15" s="138" t="n">
        <f>ROW()-2</f>
        <v>13</v>
      </c>
      <c r="B15" s="304"/>
      <c r="C15" s="309" t="s">
        <v>50</v>
      </c>
      <c r="D15" s="309"/>
      <c r="E15" s="309"/>
      <c r="F15" s="309"/>
      <c r="G15" s="309"/>
      <c r="H15" s="309"/>
      <c r="I15" s="309"/>
      <c r="J15" s="158" t="n">
        <f>SUM(J3:J14)</f>
        <v>0</v>
      </c>
      <c r="K15" s="163" t="n">
        <f>SUM(K3:K14)</f>
        <v>996000</v>
      </c>
      <c r="L15" s="164"/>
    </row>
    <row r="16" ht="50.1" customHeight="1">
      <c r="A16" s="138" t="n">
        <f>ROW()-2</f>
        <v>14</v>
      </c>
      <c r="B16" s="384" t="s">
        <v>51</v>
      </c>
      <c r="C16" s="385" t="s">
        <v>52</v>
      </c>
      <c r="D16" s="386" t="s">
        <v>53</v>
      </c>
      <c r="E16" s="142" t="n">
        <v>2</v>
      </c>
      <c r="F16" s="139" t="s">
        <v>17</v>
      </c>
      <c r="G16" s="387" t="s">
        <v>54</v>
      </c>
      <c r="H16" s="140" t="s">
        <v>19</v>
      </c>
      <c r="I16" s="157" t="n">
        <v>80000</v>
      </c>
      <c r="J16" s="165" t="n">
        <v>0</v>
      </c>
      <c r="K16" s="158" t="n">
        <f>I16*E16+J16</f>
        <v>160000</v>
      </c>
      <c r="L16" s="156" t="s">
        <v>55</v>
      </c>
      <c r="M16" s="130" t="s">
        <v>20</v>
      </c>
    </row>
    <row r="17" ht="50.1" customHeight="1">
      <c r="A17" s="138" t="n">
        <f>ROW()-2</f>
        <v>15</v>
      </c>
      <c r="B17" s="304"/>
      <c r="C17" s="388" t="s">
        <v>52</v>
      </c>
      <c r="D17" s="137" t="s">
        <v>56</v>
      </c>
      <c r="E17" s="142" t="n">
        <v>1</v>
      </c>
      <c r="F17" s="139" t="s">
        <v>17</v>
      </c>
      <c r="G17" s="389" t="s">
        <v>57</v>
      </c>
      <c r="H17" s="140" t="s">
        <v>19</v>
      </c>
      <c r="I17" s="157" t="n">
        <v>100000</v>
      </c>
      <c r="J17" s="165" t="n">
        <v>0</v>
      </c>
      <c r="K17" s="158" t="n">
        <f>I17*E17+J17</f>
        <v>100000</v>
      </c>
      <c r="L17" s="156" t="s">
        <v>55</v>
      </c>
      <c r="M17" s="130" t="s">
        <v>20</v>
      </c>
    </row>
    <row r="18" ht="39.95" customHeight="1">
      <c r="A18" s="138" t="n">
        <f>ROW()-2</f>
        <v>16</v>
      </c>
      <c r="B18" s="304"/>
      <c r="C18" s="309" t="s">
        <v>50</v>
      </c>
      <c r="D18" s="309"/>
      <c r="E18" s="309"/>
      <c r="F18" s="309"/>
      <c r="G18" s="309"/>
      <c r="H18" s="309"/>
      <c r="I18" s="309"/>
      <c r="J18" s="158" t="n">
        <f>SUM(J16:J16)</f>
        <v>0</v>
      </c>
      <c r="K18" s="163" t="n">
        <f>SUM(K16:K17)</f>
        <v>260000</v>
      </c>
      <c r="L18" s="164"/>
    </row>
    <row r="19" s="128" customFormat="1" ht="39.95" customHeight="1">
      <c r="A19" s="138" t="n">
        <f>ROW()-2</f>
        <v>17</v>
      </c>
      <c r="B19" s="390" t="s">
        <v>58</v>
      </c>
      <c r="C19" s="391" t="s">
        <v>59</v>
      </c>
      <c r="D19" s="137" t="s">
        <v>60</v>
      </c>
      <c r="E19" s="139" t="n">
        <v>2</v>
      </c>
      <c r="F19" s="139" t="s">
        <v>17</v>
      </c>
      <c r="G19" s="392" t="s">
        <v>61</v>
      </c>
      <c r="H19" s="139" t="s">
        <v>62</v>
      </c>
      <c r="I19" s="157" t="n">
        <v>75000</v>
      </c>
      <c r="J19" s="165" t="n">
        <v>0</v>
      </c>
      <c r="K19" s="158" t="n">
        <f>I19*E19+J19</f>
        <v>150000</v>
      </c>
      <c r="L19" s="156" t="s">
        <v>63</v>
      </c>
      <c r="M19" s="130" t="s">
        <v>20</v>
      </c>
    </row>
    <row r="20" s="128" customFormat="1" ht="54.75" customHeight="1">
      <c r="A20" s="138" t="n">
        <f>ROW()-2</f>
        <v>18</v>
      </c>
      <c r="B20" s="312"/>
      <c r="C20" s="393" t="s">
        <v>64</v>
      </c>
      <c r="D20" s="137" t="s">
        <v>65</v>
      </c>
      <c r="E20" s="139" t="n">
        <v>1</v>
      </c>
      <c r="F20" s="139" t="s">
        <v>17</v>
      </c>
      <c r="G20" s="394" t="s">
        <v>61</v>
      </c>
      <c r="H20" s="139" t="s">
        <v>66</v>
      </c>
      <c r="I20" s="166" t="n">
        <v>55000</v>
      </c>
      <c r="J20" s="165" t="n">
        <v>0</v>
      </c>
      <c r="K20" s="158" t="n">
        <f>I20*E20+J20</f>
        <v>55000</v>
      </c>
      <c r="L20" s="156" t="s">
        <v>63</v>
      </c>
      <c r="M20" s="130" t="s">
        <v>20</v>
      </c>
    </row>
    <row r="21" s="128" customFormat="1" ht="48" customHeight="1">
      <c r="A21" s="138" t="n">
        <f>ROW()-2</f>
        <v>19</v>
      </c>
      <c r="B21" s="312"/>
      <c r="C21" s="395" t="s">
        <v>64</v>
      </c>
      <c r="D21" s="137" t="s">
        <v>67</v>
      </c>
      <c r="E21" s="139" t="n">
        <v>1</v>
      </c>
      <c r="F21" s="139" t="s">
        <v>17</v>
      </c>
      <c r="G21" s="396" t="s">
        <v>61</v>
      </c>
      <c r="H21" s="139" t="s">
        <v>68</v>
      </c>
      <c r="I21" s="166" t="n">
        <v>90000</v>
      </c>
      <c r="J21" s="165" t="n">
        <v>0</v>
      </c>
      <c r="K21" s="158" t="n">
        <f>I21*E21+J21</f>
        <v>90000</v>
      </c>
      <c r="L21" s="156" t="s">
        <v>63</v>
      </c>
      <c r="M21" s="130" t="s">
        <v>20</v>
      </c>
    </row>
    <row r="22" s="129" customFormat="1" ht="72" customHeight="1">
      <c r="A22" s="138" t="n">
        <f>ROW()-2</f>
        <v>20</v>
      </c>
      <c r="B22" s="312"/>
      <c r="C22" s="397" t="s">
        <v>69</v>
      </c>
      <c r="D22" s="137" t="s">
        <v>70</v>
      </c>
      <c r="E22" s="144" t="n">
        <v>1</v>
      </c>
      <c r="F22" s="139" t="s">
        <v>17</v>
      </c>
      <c r="G22" s="398" t="s">
        <v>61</v>
      </c>
      <c r="H22" s="139" t="s">
        <v>71</v>
      </c>
      <c r="I22" s="143" t="n">
        <v>20000</v>
      </c>
      <c r="J22" s="165" t="n">
        <v>0</v>
      </c>
      <c r="K22" s="158" t="n">
        <f>I22*E22+J22</f>
        <v>20000</v>
      </c>
      <c r="L22" s="156" t="s">
        <v>63</v>
      </c>
      <c r="M22" s="130" t="s">
        <v>20</v>
      </c>
    </row>
    <row r="23" s="128" customFormat="1" ht="39.95" customHeight="1">
      <c r="A23" s="138" t="n">
        <f>ROW()-2</f>
        <v>21</v>
      </c>
      <c r="B23" s="312"/>
      <c r="C23" s="399" t="s">
        <v>72</v>
      </c>
      <c r="D23" s="137" t="s">
        <v>73</v>
      </c>
      <c r="E23" s="144" t="n">
        <v>6</v>
      </c>
      <c r="F23" s="139" t="s">
        <v>74</v>
      </c>
      <c r="G23" s="400" t="s">
        <v>75</v>
      </c>
      <c r="H23" s="139" t="s">
        <v>76</v>
      </c>
      <c r="I23" s="166" t="n">
        <v>7200</v>
      </c>
      <c r="J23" s="165" t="n">
        <v>0</v>
      </c>
      <c r="K23" s="158" t="n">
        <f>I23*E23+J23</f>
        <v>43200</v>
      </c>
      <c r="L23" s="156" t="s">
        <v>63</v>
      </c>
      <c r="M23" s="130" t="s">
        <v>20</v>
      </c>
    </row>
    <row r="24" s="128" customFormat="1" ht="39.95" customHeight="1">
      <c r="A24" s="138" t="n">
        <f>ROW()-2</f>
        <v>22</v>
      </c>
      <c r="B24" s="312"/>
      <c r="C24" s="401" t="s">
        <v>72</v>
      </c>
      <c r="D24" s="402" t="s">
        <v>77</v>
      </c>
      <c r="E24" s="144" t="n">
        <v>13</v>
      </c>
      <c r="F24" s="139" t="s">
        <v>74</v>
      </c>
      <c r="G24" s="403" t="s">
        <v>75</v>
      </c>
      <c r="H24" s="139" t="s">
        <v>78</v>
      </c>
      <c r="I24" s="166" t="n">
        <v>7200</v>
      </c>
      <c r="J24" s="165" t="n">
        <v>0</v>
      </c>
      <c r="K24" s="158" t="n">
        <f>I24*E24+J24</f>
        <v>93600</v>
      </c>
      <c r="L24" s="156" t="s">
        <v>63</v>
      </c>
      <c r="M24" s="130" t="s">
        <v>20</v>
      </c>
    </row>
    <row r="25" s="128" customFormat="1" ht="39.95" customHeight="1">
      <c r="A25" s="138" t="n">
        <f>ROW()-2</f>
        <v>23</v>
      </c>
      <c r="B25" s="312"/>
      <c r="C25" s="404" t="s">
        <v>79</v>
      </c>
      <c r="D25" s="405" t="s">
        <v>80</v>
      </c>
      <c r="E25" s="144" t="n">
        <v>16</v>
      </c>
      <c r="F25" s="139" t="s">
        <v>74</v>
      </c>
      <c r="G25" s="406" t="s">
        <v>81</v>
      </c>
      <c r="H25" s="140" t="s">
        <v>19</v>
      </c>
      <c r="I25" s="166" t="n">
        <v>7000</v>
      </c>
      <c r="J25" s="165" t="n">
        <v>0</v>
      </c>
      <c r="K25" s="158" t="n">
        <f>I25*E25+J25</f>
        <v>112000</v>
      </c>
      <c r="L25" s="156" t="s">
        <v>63</v>
      </c>
      <c r="M25" s="130" t="s">
        <v>20</v>
      </c>
    </row>
    <row r="26" s="128" customFormat="1" ht="50.1" customHeight="1">
      <c r="A26" s="138" t="n">
        <f>ROW()-2</f>
        <v>24</v>
      </c>
      <c r="B26" s="312"/>
      <c r="C26" s="407" t="s">
        <v>82</v>
      </c>
      <c r="D26" s="408" t="s">
        <v>83</v>
      </c>
      <c r="E26" s="144" t="n">
        <v>4</v>
      </c>
      <c r="F26" s="139" t="s">
        <v>74</v>
      </c>
      <c r="G26" s="409" t="s">
        <v>84</v>
      </c>
      <c r="H26" s="140" t="s">
        <v>19</v>
      </c>
      <c r="I26" s="157" t="n">
        <v>20000</v>
      </c>
      <c r="J26" s="165" t="n">
        <v>0</v>
      </c>
      <c r="K26" s="158" t="n">
        <f>I26*E26+J26</f>
        <v>80000</v>
      </c>
      <c r="L26" s="156" t="s">
        <v>63</v>
      </c>
      <c r="M26" s="130" t="s">
        <v>20</v>
      </c>
    </row>
    <row r="27" s="128" customFormat="1" ht="44.25" customHeight="1">
      <c r="A27" s="138" t="n">
        <f>ROW()-2</f>
        <v>25</v>
      </c>
      <c r="B27" s="312"/>
      <c r="C27" s="410" t="s">
        <v>85</v>
      </c>
      <c r="D27" s="137" t="s">
        <v>86</v>
      </c>
      <c r="E27" s="139" t="n">
        <v>5</v>
      </c>
      <c r="F27" s="139" t="s">
        <v>17</v>
      </c>
      <c r="G27" s="411" t="s">
        <v>87</v>
      </c>
      <c r="H27" s="140" t="s">
        <v>19</v>
      </c>
      <c r="I27" s="157" t="n">
        <v>20000</v>
      </c>
      <c r="J27" s="165" t="n">
        <v>0</v>
      </c>
      <c r="K27" s="158" t="n">
        <f>I27*E27+J27</f>
        <v>100000</v>
      </c>
      <c r="L27" s="156" t="s">
        <v>63</v>
      </c>
      <c r="M27" s="130" t="s">
        <v>20</v>
      </c>
    </row>
    <row r="28" s="128" customFormat="1" ht="48" customHeight="1">
      <c r="A28" s="138" t="n">
        <f>ROW()-2</f>
        <v>26</v>
      </c>
      <c r="B28" s="312"/>
      <c r="C28" s="412" t="s">
        <v>88</v>
      </c>
      <c r="D28" s="413" t="s">
        <v>89</v>
      </c>
      <c r="E28" s="145" t="n">
        <v>12</v>
      </c>
      <c r="F28" s="139" t="s">
        <v>17</v>
      </c>
      <c r="G28" s="414" t="s">
        <v>90</v>
      </c>
      <c r="H28" s="140" t="s">
        <v>19</v>
      </c>
      <c r="I28" s="157" t="n">
        <v>8000</v>
      </c>
      <c r="J28" s="165" t="n">
        <v>0</v>
      </c>
      <c r="K28" s="158" t="n">
        <f>I28*E28+J28</f>
        <v>96000</v>
      </c>
      <c r="L28" s="156" t="s">
        <v>63</v>
      </c>
      <c r="M28" s="130" t="s">
        <v>20</v>
      </c>
    </row>
    <row r="29" ht="39.95" customHeight="1">
      <c r="A29" s="138" t="n">
        <f>ROW()-2</f>
        <v>27</v>
      </c>
      <c r="B29" s="313"/>
      <c r="C29" s="309" t="s">
        <v>50</v>
      </c>
      <c r="D29" s="309"/>
      <c r="E29" s="309"/>
      <c r="F29" s="309"/>
      <c r="G29" s="309"/>
      <c r="H29" s="309"/>
      <c r="I29" s="309"/>
      <c r="J29" s="158" t="n">
        <f>SUM(J27:J28)</f>
        <v>0</v>
      </c>
      <c r="K29" s="163" t="n">
        <f>SUM(K19:K28)</f>
        <v>839800</v>
      </c>
      <c r="L29" s="164"/>
    </row>
    <row r="30" s="128" customFormat="1" ht="50.1" customHeight="1">
      <c r="A30" s="138" t="n">
        <f>ROW()-2</f>
        <v>28</v>
      </c>
      <c r="B30" s="415" t="s">
        <v>91</v>
      </c>
      <c r="C30" s="416" t="s">
        <v>92</v>
      </c>
      <c r="D30" s="137" t="s">
        <v>93</v>
      </c>
      <c r="E30" s="139" t="n">
        <v>1</v>
      </c>
      <c r="F30" s="139" t="s">
        <v>17</v>
      </c>
      <c r="G30" s="139" t="s">
        <v>94</v>
      </c>
      <c r="H30" s="139" t="s">
        <v>95</v>
      </c>
      <c r="I30" s="321" t="n">
        <v>340000</v>
      </c>
      <c r="J30" s="167" t="n">
        <v>0</v>
      </c>
      <c r="K30" s="301" t="n">
        <v>340000</v>
      </c>
      <c r="L30" s="168" t="s">
        <v>96</v>
      </c>
      <c r="M30" s="169"/>
    </row>
    <row r="31" s="128" customFormat="1" ht="50.1" customHeight="1">
      <c r="A31" s="138" t="n">
        <f>ROW()-2</f>
        <v>29</v>
      </c>
      <c r="B31" s="312"/>
      <c r="C31" s="304"/>
      <c r="D31" s="137" t="s">
        <v>97</v>
      </c>
      <c r="E31" s="139" t="n">
        <v>1</v>
      </c>
      <c r="F31" s="139" t="s">
        <v>17</v>
      </c>
      <c r="G31" s="139" t="s">
        <v>98</v>
      </c>
      <c r="H31" s="139" t="s">
        <v>95</v>
      </c>
      <c r="I31" s="321"/>
      <c r="J31" s="167" t="n">
        <v>0</v>
      </c>
      <c r="K31" s="302"/>
      <c r="L31" s="168" t="s">
        <v>96</v>
      </c>
      <c r="M31" s="169"/>
    </row>
    <row r="32" s="128" customFormat="1" ht="39.95" customHeight="1">
      <c r="A32" s="138" t="n">
        <f>ROW()-2</f>
        <v>30</v>
      </c>
      <c r="B32" s="313"/>
      <c r="C32" s="309" t="s">
        <v>50</v>
      </c>
      <c r="D32" s="309"/>
      <c r="E32" s="309"/>
      <c r="F32" s="309"/>
      <c r="G32" s="309"/>
      <c r="H32" s="309"/>
      <c r="I32" s="309"/>
      <c r="J32" s="158" t="n">
        <f>SUM(J27:J31)</f>
        <v>0</v>
      </c>
      <c r="K32" s="163" t="n">
        <f>SUM(K30:K31)</f>
        <v>340000</v>
      </c>
      <c r="L32" s="164"/>
      <c r="M32" s="130"/>
    </row>
    <row r="33" s="128" customFormat="1" ht="81.75" customHeight="1">
      <c r="A33" s="138" t="n">
        <f>ROW()-2</f>
        <v>31</v>
      </c>
      <c r="B33" s="417" t="s">
        <v>99</v>
      </c>
      <c r="C33" s="418" t="s">
        <v>99</v>
      </c>
      <c r="D33" s="137" t="s">
        <v>100</v>
      </c>
      <c r="E33" s="142" t="n">
        <v>1</v>
      </c>
      <c r="F33" s="139" t="s">
        <v>46</v>
      </c>
      <c r="G33" s="140" t="s">
        <v>19</v>
      </c>
      <c r="H33" s="140" t="s">
        <v>19</v>
      </c>
      <c r="I33" s="170" t="n">
        <v>350000</v>
      </c>
      <c r="J33" s="158" t="n">
        <v>0</v>
      </c>
      <c r="K33" s="158" t="n">
        <f>I33*E33+J33</f>
        <v>350000</v>
      </c>
      <c r="L33" s="156" t="s">
        <v>101</v>
      </c>
      <c r="M33" s="130" t="s">
        <v>102</v>
      </c>
    </row>
    <row r="34" s="128" customFormat="1" ht="54.75" customHeight="1">
      <c r="A34" s="138" t="n">
        <f>ROW()-2</f>
        <v>32</v>
      </c>
      <c r="B34" s="304"/>
      <c r="C34" s="139" t="s">
        <v>103</v>
      </c>
      <c r="D34" s="137" t="s">
        <v>104</v>
      </c>
      <c r="E34" s="142" t="n">
        <v>1</v>
      </c>
      <c r="F34" s="139" t="s">
        <v>46</v>
      </c>
      <c r="G34" s="140" t="s">
        <v>19</v>
      </c>
      <c r="H34" s="140" t="s">
        <v>19</v>
      </c>
      <c r="I34" s="170" t="n">
        <v>200818</v>
      </c>
      <c r="J34" s="171" t="n">
        <v>0</v>
      </c>
      <c r="K34" s="158" t="n">
        <v>200818</v>
      </c>
      <c r="L34" s="168" t="s">
        <v>105</v>
      </c>
      <c r="M34" s="169"/>
    </row>
    <row r="35" ht="39.95" customHeight="1">
      <c r="A35" s="138" t="n">
        <f>ROW()-2</f>
        <v>33</v>
      </c>
      <c r="B35" s="304"/>
      <c r="C35" s="309" t="s">
        <v>50</v>
      </c>
      <c r="D35" s="309"/>
      <c r="E35" s="309"/>
      <c r="F35" s="309"/>
      <c r="G35" s="309"/>
      <c r="H35" s="309"/>
      <c r="I35" s="309"/>
      <c r="J35" s="158" t="n">
        <f>SUM(J27:J33)</f>
        <v>0</v>
      </c>
      <c r="K35" s="163" t="n">
        <f>SUM(K33:K34)</f>
        <v>550818</v>
      </c>
      <c r="L35" s="164"/>
    </row>
    <row r="36" s="128" customFormat="1" ht="55.5" customHeight="1">
      <c r="A36" s="138" t="n">
        <f>ROW()-2</f>
        <v>34</v>
      </c>
      <c r="B36" s="419" t="s">
        <v>106</v>
      </c>
      <c r="C36" s="139" t="s">
        <v>107</v>
      </c>
      <c r="D36" s="137" t="s">
        <v>108</v>
      </c>
      <c r="E36" s="139" t="n">
        <v>1</v>
      </c>
      <c r="F36" s="139" t="s">
        <v>46</v>
      </c>
      <c r="G36" s="140" t="s">
        <v>19</v>
      </c>
      <c r="H36" s="140" t="s">
        <v>19</v>
      </c>
      <c r="I36" s="172" t="n">
        <v>0</v>
      </c>
      <c r="J36" s="170" t="n">
        <v>270000</v>
      </c>
      <c r="K36" s="158" t="n">
        <f>I36*E36+J36</f>
        <v>270000</v>
      </c>
      <c r="L36" s="156" t="s">
        <v>63</v>
      </c>
      <c r="M36" s="130" t="s">
        <v>109</v>
      </c>
    </row>
    <row r="37" s="128" customFormat="1" ht="49.5" customHeight="1">
      <c r="A37" s="138" t="n">
        <f>ROW()-2</f>
        <v>35</v>
      </c>
      <c r="B37" s="304"/>
      <c r="C37" s="420" t="s">
        <v>110</v>
      </c>
      <c r="D37" s="421" t="s">
        <v>111</v>
      </c>
      <c r="E37" s="139" t="n">
        <v>1</v>
      </c>
      <c r="F37" s="139" t="s">
        <v>46</v>
      </c>
      <c r="G37" s="140" t="s">
        <v>19</v>
      </c>
      <c r="H37" s="140" t="s">
        <v>19</v>
      </c>
      <c r="I37" s="172" t="n">
        <v>0</v>
      </c>
      <c r="J37" s="170" t="n">
        <v>60000</v>
      </c>
      <c r="K37" s="158" t="n">
        <f>I37*E37+J37</f>
        <v>60000</v>
      </c>
      <c r="L37" s="156"/>
      <c r="M37" s="130" t="s">
        <v>109</v>
      </c>
    </row>
    <row r="38" s="128" customFormat="1" ht="39.95" customHeight="1">
      <c r="A38" s="138" t="n">
        <f>ROW()-2</f>
        <v>36</v>
      </c>
      <c r="B38" s="304"/>
      <c r="C38" s="422" t="s">
        <v>112</v>
      </c>
      <c r="D38" s="423" t="s">
        <v>113</v>
      </c>
      <c r="E38" s="139" t="n">
        <v>1</v>
      </c>
      <c r="F38" s="139" t="s">
        <v>46</v>
      </c>
      <c r="G38" s="140" t="s">
        <v>19</v>
      </c>
      <c r="H38" s="140" t="s">
        <v>19</v>
      </c>
      <c r="I38" s="172"/>
      <c r="J38" s="158" t="n">
        <v>0</v>
      </c>
      <c r="K38" s="158" t="n">
        <f>(K36+K37)*6%</f>
        <v>19800</v>
      </c>
      <c r="L38" s="156"/>
      <c r="M38" s="130"/>
    </row>
    <row r="39" s="128" customFormat="1" ht="39.95" customHeight="1">
      <c r="A39" s="138" t="n">
        <f>ROW()-2</f>
        <v>37</v>
      </c>
      <c r="B39" s="304"/>
      <c r="C39" s="141"/>
      <c r="D39" s="141"/>
      <c r="E39" s="141"/>
      <c r="F39" s="141"/>
      <c r="G39" s="141"/>
      <c r="H39" s="141"/>
      <c r="I39" s="173"/>
      <c r="J39" s="158" t="n">
        <v>0</v>
      </c>
      <c r="K39" s="163" t="n">
        <f>SUM(K36:K38)</f>
        <v>349800</v>
      </c>
      <c r="L39" s="164"/>
      <c r="M39" s="130"/>
    </row>
    <row r="40" s="128" customFormat="1" ht="39.95" customHeight="1">
      <c r="A40" s="138" t="n">
        <f>ROW()-2</f>
        <v>38</v>
      </c>
      <c r="B40" s="424" t="s">
        <v>114</v>
      </c>
      <c r="C40" s="425" t="s">
        <v>115</v>
      </c>
      <c r="D40" s="426" t="s">
        <v>116</v>
      </c>
      <c r="E40" s="139" t="n">
        <v>1</v>
      </c>
      <c r="F40" s="139" t="s">
        <v>46</v>
      </c>
      <c r="G40" s="140" t="s">
        <v>19</v>
      </c>
      <c r="H40" s="140" t="s">
        <v>19</v>
      </c>
      <c r="I40" s="172" t="n">
        <v>0</v>
      </c>
      <c r="J40" s="158" t="n">
        <v>0</v>
      </c>
      <c r="K40" s="158" t="n">
        <f>I40*E40+J40</f>
        <v>0</v>
      </c>
      <c r="L40" s="156"/>
      <c r="M40" s="130" t="s">
        <v>117</v>
      </c>
    </row>
    <row r="41" s="128" customFormat="1" ht="39.95" customHeight="1">
      <c r="A41" s="138" t="n">
        <f>ROW()-2</f>
        <v>39</v>
      </c>
      <c r="B41" s="304"/>
      <c r="C41" s="427" t="s">
        <v>118</v>
      </c>
      <c r="D41" s="428" t="s">
        <v>119</v>
      </c>
      <c r="E41" s="139" t="n">
        <v>1</v>
      </c>
      <c r="F41" s="139" t="s">
        <v>46</v>
      </c>
      <c r="G41" s="140" t="s">
        <v>19</v>
      </c>
      <c r="H41" s="140" t="s">
        <v>19</v>
      </c>
      <c r="I41" s="166" t="n">
        <v>100000</v>
      </c>
      <c r="J41" s="158" t="n">
        <v>0</v>
      </c>
      <c r="K41" s="158" t="n">
        <f>I41*E41+J41</f>
        <v>100000</v>
      </c>
      <c r="L41" s="156"/>
      <c r="M41" s="130" t="s">
        <v>120</v>
      </c>
    </row>
    <row r="42" s="128" customFormat="1" ht="39.95" customHeight="1">
      <c r="A42" s="138" t="n">
        <f>ROW()-2</f>
        <v>40</v>
      </c>
      <c r="B42" s="304"/>
      <c r="C42" s="429" t="s">
        <v>121</v>
      </c>
      <c r="D42" s="430" t="s">
        <v>122</v>
      </c>
      <c r="E42" s="139" t="n">
        <v>1</v>
      </c>
      <c r="F42" s="139" t="s">
        <v>46</v>
      </c>
      <c r="G42" s="140" t="s">
        <v>19</v>
      </c>
      <c r="H42" s="140" t="s">
        <v>19</v>
      </c>
      <c r="I42" s="172" t="n">
        <v>0</v>
      </c>
      <c r="J42" s="158" t="n">
        <v>0</v>
      </c>
      <c r="K42" s="158" t="n">
        <f>I42*E42+J42</f>
        <v>0</v>
      </c>
      <c r="L42" s="156"/>
      <c r="M42" s="130"/>
    </row>
    <row r="43" s="128" customFormat="1" ht="39.95" customHeight="1">
      <c r="A43" s="138" t="n">
        <f>ROW()-2</f>
        <v>41</v>
      </c>
      <c r="B43" s="304"/>
      <c r="C43" s="141"/>
      <c r="D43" s="141"/>
      <c r="E43" s="141"/>
      <c r="F43" s="141"/>
      <c r="G43" s="141"/>
      <c r="H43" s="141"/>
      <c r="I43" s="173"/>
      <c r="J43" s="158" t="n">
        <v>0</v>
      </c>
      <c r="K43" s="163" t="n">
        <f>SUM(K40:K42)</f>
        <v>100000</v>
      </c>
      <c r="L43" s="164"/>
      <c r="M43" s="130"/>
    </row>
    <row r="44" s="128" customFormat="1" ht="39.95" customHeight="1">
      <c r="A44" s="146" t="n">
        <f>ROW()-2</f>
        <v>42</v>
      </c>
      <c r="B44" s="318" t="s">
        <v>123</v>
      </c>
      <c r="C44" s="318"/>
      <c r="D44" s="318"/>
      <c r="E44" s="318"/>
      <c r="F44" s="318"/>
      <c r="G44" s="318"/>
      <c r="H44" s="318"/>
      <c r="I44" s="318"/>
      <c r="J44" s="318"/>
      <c r="K44" s="174" t="n">
        <f>K15+K18+K29+K35+K32+K39+K43</f>
        <v>3436418</v>
      </c>
      <c r="L44" s="175" t="n">
        <f>(K44-K32)/$L$47</f>
        <v>321538.733125649</v>
      </c>
      <c r="M44" s="176"/>
    </row>
    <row r="45" s="128" customFormat="1" ht="39.95" customHeight="1"/>
    <row r="46" s="128" customFormat="1" ht="39.95" customHeight="1">
      <c r="B46" s="147"/>
      <c r="C46" s="147"/>
      <c r="D46" s="147"/>
      <c r="E46" s="147"/>
      <c r="F46" s="147"/>
      <c r="G46" s="147"/>
      <c r="H46" s="147"/>
      <c r="I46" s="177" t="s">
        <v>124</v>
      </c>
      <c r="J46" s="178" t="n">
        <f>ROUNDUP(K44/10000,2)</f>
        <v>343.65</v>
      </c>
      <c r="K46" s="179" t="n">
        <f>ROUNDUP(K44/L46/1000000,2)</f>
        <v>0.48</v>
      </c>
      <c r="L46" s="180" t="n">
        <v>7.26</v>
      </c>
    </row>
    <row r="47" s="128" customFormat="1" ht="39.95" customHeight="1">
      <c r="G47" s="148"/>
      <c r="I47" s="181" t="s">
        <v>125</v>
      </c>
      <c r="J47" s="178" t="n">
        <v>201.07</v>
      </c>
      <c r="K47" s="182" t="n">
        <v>0.21</v>
      </c>
      <c r="L47" s="183" t="n">
        <v>9.63</v>
      </c>
    </row>
    <row r="48" s="128" customFormat="1" ht="39.95" customHeight="1">
      <c r="J48" s="132"/>
      <c r="K48" s="132"/>
      <c r="L48" s="133"/>
    </row>
    <row r="49" s="128" customFormat="1" ht="39.95" customHeight="1">
      <c r="E49" s="132"/>
      <c r="F49" s="132"/>
      <c r="G49" s="132"/>
      <c r="H49" s="132"/>
      <c r="J49" s="132"/>
      <c r="K49" s="132"/>
      <c r="L49" s="132"/>
    </row>
    <row r="50" s="128" customFormat="1" ht="39.95" customHeight="1">
      <c r="K50" s="132"/>
      <c r="L50" s="132"/>
    </row>
    <row r="51" s="128" customFormat="1" ht="39.95" customHeight="1">
      <c r="J51" s="132"/>
      <c r="K51" s="132"/>
      <c r="L51" s="133"/>
    </row>
    <row r="52" s="128" customFormat="1" ht="39.95" customHeight="1">
      <c r="J52" s="132"/>
      <c r="K52" s="132"/>
      <c r="L52" s="133"/>
    </row>
    <row r="53" s="128" customFormat="1" ht="39.95" customHeight="1">
      <c r="J53" s="132"/>
      <c r="K53" s="132"/>
      <c r="L53" s="133"/>
    </row>
    <row r="54" s="128" customFormat="1" ht="39.95" customHeight="1">
      <c r="J54" s="132"/>
      <c r="K54" s="132"/>
      <c r="L54" s="133"/>
    </row>
    <row r="55" s="128" customFormat="1" ht="39.95" customHeight="1">
      <c r="J55" s="132"/>
      <c r="K55" s="132"/>
      <c r="L55" s="133"/>
    </row>
    <row r="56" s="128" customFormat="1" ht="39.95" customHeight="1">
      <c r="J56" s="132"/>
      <c r="K56" s="132"/>
      <c r="L56" s="133"/>
    </row>
    <row r="57" s="128" customFormat="1" ht="39.95" customHeight="1">
      <c r="J57" s="132"/>
      <c r="K57" s="132"/>
      <c r="L57" s="133"/>
    </row>
    <row r="58" s="128" customFormat="1" ht="39.95" customHeight="1">
      <c r="J58" s="132"/>
      <c r="K58" s="132"/>
      <c r="L58" s="133"/>
    </row>
    <row r="59" s="128" customFormat="1" ht="39.95" customHeight="1">
      <c r="J59" s="132"/>
      <c r="K59" s="132"/>
      <c r="L59" s="133"/>
    </row>
  </sheetData>
  <mergeCells count="18">
    <mergeCell ref="K30:K31"/>
    <mergeCell ref="B33:B35"/>
    <mergeCell ref="B44:J44"/>
    <mergeCell ref="B36:B39"/>
    <mergeCell ref="A1:H1"/>
    <mergeCell ref="B19:B29"/>
    <mergeCell ref="C32:I32"/>
    <mergeCell ref="I1:L1"/>
    <mergeCell ref="C30:C31"/>
    <mergeCell ref="B30:B32"/>
    <mergeCell ref="C35:I35"/>
    <mergeCell ref="B16:B18"/>
    <mergeCell ref="C18:I18"/>
    <mergeCell ref="C29:I29"/>
    <mergeCell ref="B3:B15"/>
    <mergeCell ref="C15:I15"/>
    <mergeCell ref="I30:I31"/>
    <mergeCell ref="B40:B4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5.75" customHeight="1"/>
  <cols>
    <col min="2" max="2" width="16.166015625" customWidth="1" style="119"/>
    <col min="3" max="3" width="29.1650390625" customWidth="1" style="119"/>
    <col min="4" max="4" width="12.6650390625" customWidth="1" style="119"/>
  </cols>
  <sheetData>
    <row r="1" ht="15.75" customHeight="1">
      <c r="F1" s="119" t="s">
        <v>126</v>
      </c>
    </row>
    <row r="3" ht="15.75" customHeight="1">
      <c r="A3" s="120" t="s">
        <v>127</v>
      </c>
      <c r="B3" s="120" t="s">
        <v>128</v>
      </c>
      <c r="C3" s="120" t="s">
        <v>129</v>
      </c>
      <c r="D3" s="120" t="s">
        <v>130</v>
      </c>
    </row>
    <row r="4" ht="15.75" customHeight="1">
      <c r="A4" s="121" t="n">
        <v>1</v>
      </c>
      <c r="B4" s="322" t="s">
        <v>131</v>
      </c>
      <c r="C4" s="120" t="s">
        <v>132</v>
      </c>
      <c r="D4" s="121" t="n">
        <v>2</v>
      </c>
    </row>
    <row r="5" ht="31.5" customHeight="1">
      <c r="A5" s="121" t="n">
        <v>2</v>
      </c>
      <c r="B5" s="322"/>
      <c r="C5" s="122" t="s">
        <v>133</v>
      </c>
      <c r="D5" s="121" t="n">
        <v>3</v>
      </c>
    </row>
    <row r="7" ht="15.75" customHeight="1">
      <c r="A7" s="119" t="s">
        <v>134</v>
      </c>
    </row>
    <row r="8" ht="15.75" customHeight="1">
      <c r="A8" s="119" t="s">
        <v>135</v>
      </c>
    </row>
    <row r="9" ht="15.75" customHeight="1">
      <c r="A9" s="123"/>
    </row>
    <row r="10" ht="15.75" customHeight="1">
      <c r="A10" s="119" t="s">
        <v>136</v>
      </c>
    </row>
    <row r="11" ht="15.75" customHeight="1">
      <c r="A11" s="124" t="s">
        <v>137</v>
      </c>
    </row>
    <row r="12" ht="15.75" customHeight="1">
      <c r="A12" s="124" t="s">
        <v>138</v>
      </c>
    </row>
    <row r="13" ht="15.75" customHeight="1">
      <c r="A13" s="124" t="s">
        <v>139</v>
      </c>
    </row>
    <row r="14" ht="15.75" customHeight="1">
      <c r="A14" s="124" t="s">
        <v>140</v>
      </c>
    </row>
    <row r="15" ht="15.75" customHeight="1">
      <c r="A15" s="125" t="s">
        <v>141</v>
      </c>
    </row>
    <row r="16" ht="15.75" customHeight="1">
      <c r="A16" s="125" t="s">
        <v>142</v>
      </c>
    </row>
    <row r="17" ht="15.75" customHeight="1">
      <c r="A17" s="125" t="s">
        <v>143</v>
      </c>
    </row>
    <row r="18" ht="15.75" customHeight="1">
      <c r="A18" s="125" t="s">
        <v>144</v>
      </c>
    </row>
    <row r="19" ht="15.75" customHeight="1">
      <c r="A19" s="125" t="s">
        <v>145</v>
      </c>
    </row>
    <row r="20" ht="15.75" customHeight="1">
      <c r="A20" s="125" t="s">
        <v>146</v>
      </c>
    </row>
    <row r="21" ht="15.75" customHeight="1">
      <c r="A21" s="125" t="s">
        <v>147</v>
      </c>
    </row>
    <row r="22" ht="15.75" customHeight="1">
      <c r="A22" s="125" t="s">
        <v>148</v>
      </c>
    </row>
    <row r="23" ht="15.75" customHeight="1">
      <c r="A23" s="125" t="s">
        <v>149</v>
      </c>
    </row>
    <row r="24" ht="15.75" customHeight="1">
      <c r="A24" s="125" t="s">
        <v>150</v>
      </c>
    </row>
    <row r="25" ht="15.75" customHeight="1">
      <c r="A25" s="125" t="s">
        <v>151</v>
      </c>
    </row>
    <row r="26" ht="15.75" customHeight="1">
      <c r="A26" s="124" t="s">
        <v>152</v>
      </c>
    </row>
    <row r="27" ht="15.75" customHeight="1">
      <c r="A27" s="125" t="s">
        <v>153</v>
      </c>
    </row>
    <row r="28" ht="15.75" customHeight="1">
      <c r="A28" s="125" t="s">
        <v>154</v>
      </c>
    </row>
    <row r="29" ht="15.75" customHeight="1">
      <c r="A29" s="125" t="s">
        <v>155</v>
      </c>
    </row>
    <row r="30" ht="15.75" customHeight="1">
      <c r="A30" s="125" t="s">
        <v>156</v>
      </c>
    </row>
    <row r="31" ht="15.75" customHeight="1">
      <c r="A31" s="125" t="s">
        <v>157</v>
      </c>
    </row>
    <row r="32" ht="15.75" customHeight="1">
      <c r="A32" s="124" t="s">
        <v>158</v>
      </c>
    </row>
    <row r="33" ht="15.75" customHeight="1">
      <c r="A33" s="125" t="s">
        <v>159</v>
      </c>
    </row>
    <row r="34" ht="15.75" customHeight="1">
      <c r="A34" s="125" t="s">
        <v>160</v>
      </c>
    </row>
    <row r="35" ht="15.75" customHeight="1">
      <c r="A35" s="125" t="s">
        <v>161</v>
      </c>
    </row>
    <row r="36" ht="15.75" customHeight="1">
      <c r="A36" s="124" t="s">
        <v>162</v>
      </c>
    </row>
    <row r="37" ht="15.75" customHeight="1">
      <c r="A37" s="124" t="s">
        <v>163</v>
      </c>
    </row>
    <row r="38" ht="15.75" customHeight="1">
      <c r="A38" s="124" t="s">
        <v>164</v>
      </c>
    </row>
    <row r="39" ht="15.75" customHeight="1">
      <c r="A39" s="124" t="s">
        <v>165</v>
      </c>
    </row>
    <row r="40" ht="15.75" customHeight="1">
      <c r="A40" s="124" t="s">
        <v>166</v>
      </c>
    </row>
    <row r="41" ht="15.75" customHeight="1">
      <c r="A41" s="124" t="s">
        <v>167</v>
      </c>
    </row>
    <row r="42" ht="15.75" customHeight="1">
      <c r="A42" s="126"/>
    </row>
    <row r="43" ht="15.75" customHeight="1">
      <c r="A43" s="127" t="s">
        <v>168</v>
      </c>
    </row>
    <row r="44" ht="15.75" customHeight="1">
      <c r="A44" s="124" t="s">
        <v>169</v>
      </c>
    </row>
    <row r="45" ht="15.75" customHeight="1">
      <c r="A45" s="124" t="s">
        <v>170</v>
      </c>
    </row>
  </sheetData>
  <mergeCells count="1">
    <mergeCell ref="B4:B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4"/>
    <col min="2" max="2" width="8.1650390625" customWidth="1" style="184"/>
    <col min="3" max="3" width="28.8310546875" customWidth="1" style="184"/>
    <col min="4" max="4" width="19.6640625" customWidth="1" style="184"/>
    <col min="5" max="52" width="2.4990234375" customWidth="1" style="184"/>
    <col min="53" max="109" width="2.4990234375" customWidth="1" style="119"/>
  </cols>
  <sheetData>
    <row r="1" ht="30" customHeight="1">
      <c r="C1" s="333" t="s">
        <v>171</v>
      </c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  <c r="AX1" s="334"/>
      <c r="AY1" s="334"/>
      <c r="AZ1" s="334"/>
      <c r="BA1" s="334"/>
      <c r="BB1" s="334"/>
      <c r="BC1" s="334"/>
      <c r="BD1" s="334"/>
      <c r="BE1" s="334"/>
      <c r="BF1" s="334"/>
      <c r="BG1" s="334"/>
      <c r="BH1" s="334"/>
      <c r="BI1" s="334"/>
      <c r="BJ1" s="334"/>
      <c r="BK1" s="334"/>
      <c r="BL1" s="334"/>
      <c r="BM1" s="334"/>
      <c r="BN1" s="334"/>
      <c r="BO1" s="334"/>
      <c r="BP1" s="334"/>
      <c r="BQ1" s="334"/>
      <c r="BR1" s="334"/>
      <c r="BS1" s="334"/>
      <c r="BT1" s="334"/>
      <c r="DF1" s="119" t="s">
        <v>172</v>
      </c>
    </row>
    <row r="2" ht="30" customHeight="1">
      <c r="B2" s="331" t="s">
        <v>173</v>
      </c>
      <c r="C2" s="331"/>
      <c r="D2" s="337" t="s">
        <v>174</v>
      </c>
      <c r="E2" s="329" t="n">
        <v>8</v>
      </c>
      <c r="F2" s="323"/>
      <c r="G2" s="323"/>
      <c r="H2" s="323"/>
      <c r="I2" s="329" t="n">
        <v>9</v>
      </c>
      <c r="J2" s="323"/>
      <c r="K2" s="323"/>
      <c r="L2" s="323"/>
      <c r="M2" s="329" t="n">
        <v>10</v>
      </c>
      <c r="N2" s="323"/>
      <c r="O2" s="323"/>
      <c r="P2" s="323"/>
      <c r="Q2" s="329" t="n">
        <v>11</v>
      </c>
      <c r="R2" s="323"/>
      <c r="S2" s="323"/>
      <c r="T2" s="323"/>
      <c r="U2" s="329" t="n">
        <v>12</v>
      </c>
      <c r="V2" s="323"/>
      <c r="W2" s="323"/>
      <c r="X2" s="323"/>
      <c r="Y2" s="323" t="n">
        <v>1</v>
      </c>
      <c r="Z2" s="323"/>
      <c r="AA2" s="323"/>
      <c r="AB2" s="323"/>
      <c r="AC2" s="323" t="n">
        <v>2</v>
      </c>
      <c r="AD2" s="323"/>
      <c r="AE2" s="323"/>
      <c r="AF2" s="323"/>
      <c r="AG2" s="323" t="n">
        <v>3</v>
      </c>
      <c r="AH2" s="323"/>
      <c r="AI2" s="323"/>
      <c r="AJ2" s="323"/>
      <c r="AK2" s="323" t="n">
        <v>4</v>
      </c>
      <c r="AL2" s="323"/>
      <c r="AM2" s="323"/>
      <c r="AN2" s="323"/>
      <c r="AO2" s="323" t="n">
        <v>5</v>
      </c>
      <c r="AP2" s="323"/>
      <c r="AQ2" s="323"/>
      <c r="AR2" s="323"/>
      <c r="AS2" s="323" t="n">
        <v>6</v>
      </c>
      <c r="AT2" s="323"/>
      <c r="AU2" s="323"/>
      <c r="AV2" s="323"/>
      <c r="AW2" s="323" t="n">
        <v>7</v>
      </c>
      <c r="AX2" s="323"/>
      <c r="AY2" s="323"/>
      <c r="AZ2" s="323"/>
      <c r="BA2" s="323" t="n">
        <v>8</v>
      </c>
      <c r="BB2" s="323"/>
      <c r="BC2" s="323"/>
      <c r="BD2" s="323"/>
      <c r="BE2" s="323" t="n">
        <v>9</v>
      </c>
      <c r="BF2" s="323"/>
      <c r="BG2" s="323"/>
      <c r="BH2" s="323"/>
      <c r="BI2" s="323" t="n">
        <v>10</v>
      </c>
      <c r="BJ2" s="323"/>
      <c r="BK2" s="323"/>
      <c r="BL2" s="323"/>
      <c r="BM2" s="323" t="n">
        <v>11</v>
      </c>
      <c r="BN2" s="323"/>
      <c r="BO2" s="323"/>
      <c r="BP2" s="323"/>
      <c r="BQ2" s="323" t="n">
        <v>12</v>
      </c>
      <c r="BR2" s="323"/>
      <c r="BS2" s="323"/>
      <c r="BT2" s="323"/>
      <c r="BU2" s="323" t="n">
        <v>1</v>
      </c>
      <c r="BV2" s="323"/>
      <c r="BW2" s="323"/>
      <c r="BX2" s="323"/>
      <c r="BY2" s="324" t="n">
        <v>2</v>
      </c>
      <c r="BZ2" s="324"/>
      <c r="CA2" s="324"/>
      <c r="CB2" s="324"/>
      <c r="CC2" s="324" t="n">
        <v>3</v>
      </c>
      <c r="CD2" s="324"/>
      <c r="CE2" s="324"/>
      <c r="CF2" s="324"/>
      <c r="CG2" s="324" t="n">
        <v>4</v>
      </c>
      <c r="CH2" s="324"/>
      <c r="CI2" s="324"/>
      <c r="CJ2" s="324"/>
      <c r="CK2" s="324" t="n">
        <v>5</v>
      </c>
      <c r="CL2" s="324"/>
      <c r="CM2" s="324"/>
      <c r="CN2" s="324"/>
      <c r="CO2" s="324" t="n">
        <v>6</v>
      </c>
      <c r="CP2" s="324"/>
      <c r="CQ2" s="324"/>
      <c r="CR2" s="324"/>
      <c r="CS2" s="324" t="n">
        <v>7</v>
      </c>
      <c r="CT2" s="324"/>
      <c r="CU2" s="324"/>
      <c r="CV2" s="324"/>
      <c r="CW2" s="324" t="n">
        <v>8</v>
      </c>
      <c r="CX2" s="324"/>
      <c r="CY2" s="324"/>
      <c r="CZ2" s="324"/>
      <c r="DA2" s="324" t="n">
        <v>9</v>
      </c>
      <c r="DB2" s="324"/>
      <c r="DC2" s="324"/>
      <c r="DD2" s="324"/>
      <c r="DE2" s="296"/>
    </row>
    <row r="3" ht="30" customHeight="1">
      <c r="B3" s="331" t="s">
        <v>175</v>
      </c>
      <c r="C3" s="331"/>
      <c r="D3" s="337" t="s">
        <v>176</v>
      </c>
      <c r="E3" s="297" t="n">
        <v>1</v>
      </c>
      <c r="F3" s="298" t="n">
        <v>2</v>
      </c>
      <c r="G3" s="298" t="n">
        <v>3</v>
      </c>
      <c r="H3" s="298" t="n">
        <v>4</v>
      </c>
      <c r="I3" s="298" t="n">
        <v>1</v>
      </c>
      <c r="J3" s="298" t="n">
        <v>2</v>
      </c>
      <c r="K3" s="298" t="n">
        <v>3</v>
      </c>
      <c r="L3" s="298" t="n">
        <v>4</v>
      </c>
      <c r="M3" s="297" t="n">
        <v>1</v>
      </c>
      <c r="N3" s="298" t="n">
        <v>2</v>
      </c>
      <c r="O3" s="298" t="n">
        <v>3</v>
      </c>
      <c r="P3" s="298" t="n">
        <v>4</v>
      </c>
      <c r="Q3" s="298" t="n">
        <v>1</v>
      </c>
      <c r="R3" s="298" t="n">
        <v>2</v>
      </c>
      <c r="S3" s="298" t="n">
        <v>3</v>
      </c>
      <c r="T3" s="298" t="n">
        <v>4</v>
      </c>
      <c r="U3" s="297" t="n">
        <v>1</v>
      </c>
      <c r="V3" s="298" t="n">
        <v>2</v>
      </c>
      <c r="W3" s="298" t="n">
        <v>3</v>
      </c>
      <c r="X3" s="298" t="n">
        <v>4</v>
      </c>
      <c r="Y3" s="298" t="n">
        <v>1</v>
      </c>
      <c r="Z3" s="298" t="n">
        <v>2</v>
      </c>
      <c r="AA3" s="298" t="n">
        <v>3</v>
      </c>
      <c r="AB3" s="298" t="n">
        <v>4</v>
      </c>
      <c r="AC3" s="297" t="n">
        <v>1</v>
      </c>
      <c r="AD3" s="298" t="n">
        <v>2</v>
      </c>
      <c r="AE3" s="298" t="n">
        <v>3</v>
      </c>
      <c r="AF3" s="298" t="n">
        <v>4</v>
      </c>
      <c r="AG3" s="298" t="n">
        <v>1</v>
      </c>
      <c r="AH3" s="298" t="n">
        <v>2</v>
      </c>
      <c r="AI3" s="298" t="n">
        <v>3</v>
      </c>
      <c r="AJ3" s="298" t="n">
        <v>4</v>
      </c>
      <c r="AK3" s="297" t="n">
        <v>1</v>
      </c>
      <c r="AL3" s="298" t="n">
        <v>2</v>
      </c>
      <c r="AM3" s="298" t="n">
        <v>3</v>
      </c>
      <c r="AN3" s="298" t="n">
        <v>4</v>
      </c>
      <c r="AO3" s="298" t="n">
        <v>1</v>
      </c>
      <c r="AP3" s="298" t="n">
        <v>2</v>
      </c>
      <c r="AQ3" s="298" t="n">
        <v>3</v>
      </c>
      <c r="AR3" s="298" t="n">
        <v>4</v>
      </c>
      <c r="AS3" s="297" t="n">
        <v>1</v>
      </c>
      <c r="AT3" s="298" t="n">
        <v>2</v>
      </c>
      <c r="AU3" s="298" t="n">
        <v>3</v>
      </c>
      <c r="AV3" s="298" t="n">
        <v>4</v>
      </c>
      <c r="AW3" s="298" t="n">
        <v>1</v>
      </c>
      <c r="AX3" s="298" t="n">
        <v>2</v>
      </c>
      <c r="AY3" s="298" t="n">
        <v>3</v>
      </c>
      <c r="AZ3" s="298" t="n">
        <v>4</v>
      </c>
      <c r="BA3" s="297" t="n">
        <v>1</v>
      </c>
      <c r="BB3" s="298" t="n">
        <v>2</v>
      </c>
      <c r="BC3" s="298" t="n">
        <v>3</v>
      </c>
      <c r="BD3" s="298" t="n">
        <v>4</v>
      </c>
      <c r="BE3" s="298" t="n">
        <v>1</v>
      </c>
      <c r="BF3" s="298" t="n">
        <v>2</v>
      </c>
      <c r="BG3" s="298" t="n">
        <v>3</v>
      </c>
      <c r="BH3" s="298" t="n">
        <v>4</v>
      </c>
      <c r="BI3" s="297" t="n">
        <v>1</v>
      </c>
      <c r="BJ3" s="298" t="n">
        <v>2</v>
      </c>
      <c r="BK3" s="298" t="n">
        <v>3</v>
      </c>
      <c r="BL3" s="298" t="n">
        <v>4</v>
      </c>
      <c r="BM3" s="298" t="n">
        <v>1</v>
      </c>
      <c r="BN3" s="298" t="n">
        <v>2</v>
      </c>
      <c r="BO3" s="298" t="n">
        <v>3</v>
      </c>
      <c r="BP3" s="298" t="n">
        <v>4</v>
      </c>
      <c r="BQ3" s="299" t="n">
        <v>1</v>
      </c>
      <c r="BR3" s="299" t="n">
        <v>2</v>
      </c>
      <c r="BS3" s="299" t="n">
        <v>3</v>
      </c>
      <c r="BT3" s="299" t="n">
        <v>4</v>
      </c>
      <c r="BU3" s="299" t="n">
        <v>1</v>
      </c>
      <c r="BV3" s="299" t="n">
        <v>2</v>
      </c>
      <c r="BW3" s="299" t="n">
        <v>3</v>
      </c>
      <c r="BX3" s="300" t="n">
        <v>4</v>
      </c>
      <c r="BY3" s="298" t="n">
        <v>1</v>
      </c>
      <c r="BZ3" s="299" t="n">
        <v>2</v>
      </c>
      <c r="CA3" s="299" t="n">
        <v>3</v>
      </c>
      <c r="CB3" s="299" t="n">
        <v>4</v>
      </c>
      <c r="CC3" s="299" t="n">
        <v>1</v>
      </c>
      <c r="CD3" s="299" t="n">
        <v>2</v>
      </c>
      <c r="CE3" s="299" t="n">
        <v>3</v>
      </c>
      <c r="CF3" s="299" t="n">
        <v>4</v>
      </c>
      <c r="CG3" s="299" t="n">
        <v>1</v>
      </c>
      <c r="CH3" s="299" t="n">
        <v>2</v>
      </c>
      <c r="CI3" s="299" t="n">
        <v>3</v>
      </c>
      <c r="CJ3" s="299" t="n">
        <v>4</v>
      </c>
      <c r="CK3" s="299" t="n">
        <v>1</v>
      </c>
      <c r="CL3" s="299" t="n">
        <v>2</v>
      </c>
      <c r="CM3" s="299" t="n">
        <v>3</v>
      </c>
      <c r="CN3" s="299" t="n">
        <v>4</v>
      </c>
      <c r="CO3" s="299" t="n">
        <v>1</v>
      </c>
      <c r="CP3" s="299" t="n">
        <v>2</v>
      </c>
      <c r="CQ3" s="299" t="n">
        <v>3</v>
      </c>
      <c r="CR3" s="299" t="n">
        <v>4</v>
      </c>
      <c r="CS3" s="299" t="n">
        <v>1</v>
      </c>
      <c r="CT3" s="299" t="n">
        <v>2</v>
      </c>
      <c r="CU3" s="299" t="n">
        <v>3</v>
      </c>
      <c r="CV3" s="299" t="n">
        <v>4</v>
      </c>
      <c r="CW3" s="299" t="n">
        <v>1</v>
      </c>
      <c r="CX3" s="299" t="n">
        <v>2</v>
      </c>
      <c r="CY3" s="299" t="n">
        <v>3</v>
      </c>
      <c r="CZ3" s="299" t="n">
        <v>4</v>
      </c>
      <c r="DA3" s="299" t="n">
        <v>1</v>
      </c>
      <c r="DB3" s="299" t="n">
        <v>2</v>
      </c>
      <c r="DC3" s="299" t="n">
        <v>3</v>
      </c>
      <c r="DD3" s="299" t="n">
        <v>4</v>
      </c>
      <c r="DE3" s="299" t="n">
        <v>1</v>
      </c>
    </row>
    <row r="4" ht="30" customHeight="1">
      <c r="B4" s="328" t="s">
        <v>177</v>
      </c>
      <c r="C4" s="8" t="s">
        <v>178</v>
      </c>
      <c r="D4" s="9" t="s">
        <v>179</v>
      </c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26"/>
      <c r="R4" s="26"/>
      <c r="S4" s="26"/>
      <c r="T4" s="26"/>
      <c r="U4" s="26"/>
      <c r="V4" s="26"/>
      <c r="W4" s="189"/>
      <c r="X4" s="11"/>
      <c r="Y4" s="11"/>
      <c r="Z4" s="189"/>
      <c r="AA4" s="189"/>
      <c r="AB4" s="431" t="s">
        <v>180</v>
      </c>
      <c r="AC4" s="189"/>
      <c r="AD4" s="189"/>
      <c r="AE4" s="11"/>
      <c r="AF4" s="11"/>
      <c r="AG4" s="11"/>
      <c r="AH4" s="11"/>
      <c r="AI4" s="11"/>
      <c r="AJ4" s="11"/>
      <c r="AK4" s="11"/>
      <c r="AL4" s="11"/>
      <c r="AM4" s="32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90"/>
      <c r="BB4" s="90"/>
      <c r="BC4" s="90"/>
      <c r="BD4" s="90"/>
      <c r="BE4" s="97"/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R4" s="97"/>
      <c r="BS4" s="97"/>
      <c r="BT4" s="97"/>
      <c r="BU4" s="97"/>
      <c r="BV4" s="97"/>
      <c r="BW4" s="97"/>
      <c r="BX4" s="108"/>
      <c r="BY4" s="97"/>
      <c r="BZ4" s="97"/>
      <c r="CA4" s="97"/>
      <c r="CB4" s="97"/>
      <c r="CC4" s="97"/>
      <c r="CD4" s="97"/>
      <c r="CE4" s="97"/>
      <c r="CF4" s="97"/>
      <c r="CG4" s="97"/>
      <c r="CH4" s="97"/>
      <c r="CI4" s="97"/>
      <c r="CJ4" s="97"/>
      <c r="CK4" s="113"/>
      <c r="CL4" s="113"/>
      <c r="CM4" s="113"/>
      <c r="CN4" s="113"/>
      <c r="CO4" s="120"/>
      <c r="CP4" s="120"/>
      <c r="CQ4" s="120"/>
      <c r="CR4" s="120"/>
      <c r="CS4" s="120"/>
      <c r="CT4" s="120"/>
      <c r="CU4" s="120"/>
      <c r="CV4" s="120"/>
      <c r="CW4" s="120"/>
      <c r="CX4" s="120"/>
      <c r="CY4" s="120"/>
      <c r="CZ4" s="120"/>
      <c r="DA4" s="120"/>
      <c r="DB4" s="120"/>
      <c r="DC4" s="120"/>
      <c r="DD4" s="120"/>
      <c r="DE4" s="113"/>
      <c r="DF4" s="116"/>
    </row>
    <row r="5" ht="30" customHeight="1">
      <c r="B5" s="328"/>
      <c r="C5" s="194" t="s">
        <v>181</v>
      </c>
      <c r="D5" s="200" t="s">
        <v>182</v>
      </c>
      <c r="E5" s="10"/>
      <c r="F5" s="11"/>
      <c r="G5" s="11"/>
      <c r="H5" s="11"/>
      <c r="I5" s="11"/>
      <c r="J5" s="11"/>
      <c r="K5" s="11"/>
      <c r="L5" s="11"/>
      <c r="M5" s="82"/>
      <c r="N5" s="82"/>
      <c r="O5" s="82"/>
      <c r="P5" s="81"/>
      <c r="Q5" s="82"/>
      <c r="R5" s="82"/>
      <c r="S5" s="82"/>
      <c r="T5" s="82"/>
      <c r="U5" s="71"/>
      <c r="V5" s="82"/>
      <c r="W5" s="82"/>
      <c r="X5" s="82"/>
      <c r="Y5" s="82"/>
      <c r="Z5" s="82"/>
      <c r="AA5" s="82"/>
      <c r="AB5" s="82"/>
      <c r="AC5" s="82"/>
      <c r="AD5" s="82"/>
      <c r="AE5" s="82"/>
      <c r="AF5" s="11"/>
      <c r="AG5" s="11"/>
      <c r="AH5" s="11"/>
      <c r="AI5" s="11"/>
      <c r="AJ5" s="11"/>
      <c r="AK5" s="11"/>
      <c r="AL5" s="11"/>
      <c r="AM5" s="33"/>
      <c r="AN5" s="33"/>
      <c r="AO5" s="33"/>
      <c r="AP5" s="33"/>
      <c r="AQ5" s="33"/>
      <c r="AR5" s="33"/>
      <c r="AS5" s="33"/>
      <c r="AT5" s="286"/>
      <c r="AU5" s="286"/>
      <c r="AV5" s="286"/>
      <c r="AW5" s="199"/>
      <c r="AX5" s="33"/>
      <c r="AY5" s="33"/>
      <c r="AZ5" s="33"/>
      <c r="BA5" s="90"/>
      <c r="BB5" s="90"/>
      <c r="BC5" s="90"/>
      <c r="BD5" s="90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08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  <c r="CN5" s="113"/>
      <c r="CO5" s="120"/>
      <c r="CP5" s="120"/>
      <c r="CQ5" s="120"/>
      <c r="CR5" s="120"/>
      <c r="CS5" s="120"/>
      <c r="CT5" s="120"/>
      <c r="CU5" s="120"/>
      <c r="CV5" s="120"/>
      <c r="CW5" s="120"/>
      <c r="CX5" s="120"/>
      <c r="CY5" s="120"/>
      <c r="CZ5" s="120"/>
      <c r="DA5" s="120"/>
      <c r="DB5" s="120"/>
      <c r="DC5" s="120"/>
      <c r="DD5" s="120"/>
      <c r="DE5" s="113"/>
      <c r="DF5" s="116"/>
    </row>
    <row r="6" ht="16.5" customHeight="1">
      <c r="B6" s="328"/>
      <c r="C6" s="291" t="s">
        <v>183</v>
      </c>
      <c r="D6" s="201" t="s">
        <v>184</v>
      </c>
      <c r="E6" s="10"/>
      <c r="F6" s="11"/>
      <c r="G6" s="11"/>
      <c r="H6" s="11"/>
      <c r="I6" s="11"/>
      <c r="J6" s="11"/>
      <c r="K6" s="11"/>
      <c r="L6" s="11"/>
      <c r="M6" s="82"/>
      <c r="N6" s="82"/>
      <c r="O6" s="82"/>
      <c r="P6" s="81"/>
      <c r="Q6" s="82"/>
      <c r="R6" s="82"/>
      <c r="S6" s="82"/>
      <c r="T6" s="82"/>
      <c r="U6" s="71"/>
      <c r="V6" s="82"/>
      <c r="W6" s="82"/>
      <c r="X6" s="82"/>
      <c r="Y6" s="82"/>
      <c r="Z6" s="82"/>
      <c r="AA6" s="82"/>
      <c r="AB6" s="82"/>
      <c r="AC6" s="82"/>
      <c r="AD6" s="82"/>
      <c r="AE6" s="82"/>
      <c r="AF6" s="11"/>
      <c r="AG6" s="11"/>
      <c r="AH6" s="11"/>
      <c r="AI6" s="11"/>
      <c r="AJ6" s="11"/>
      <c r="AK6" s="11"/>
      <c r="AL6" s="11"/>
      <c r="AM6" s="32"/>
      <c r="AN6" s="33"/>
      <c r="AO6" s="33"/>
      <c r="AP6" s="289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90"/>
      <c r="BB6" s="90"/>
      <c r="BC6" s="90"/>
      <c r="BD6" s="90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08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20"/>
      <c r="CP6" s="120"/>
      <c r="CQ6" s="120"/>
      <c r="CR6" s="120"/>
      <c r="CS6" s="120"/>
      <c r="CT6" s="120"/>
      <c r="CU6" s="120"/>
      <c r="CV6" s="120"/>
      <c r="CW6" s="120"/>
      <c r="CX6" s="120"/>
      <c r="CY6" s="120"/>
      <c r="CZ6" s="120"/>
      <c r="DA6" s="120"/>
      <c r="DB6" s="120"/>
      <c r="DC6" s="120"/>
      <c r="DD6" s="120"/>
      <c r="DE6" s="113"/>
      <c r="DF6" s="116"/>
    </row>
    <row r="7" ht="30" customHeight="1">
      <c r="B7" s="328"/>
      <c r="C7" s="292" t="s">
        <v>185</v>
      </c>
      <c r="D7" s="287" t="s">
        <v>184</v>
      </c>
      <c r="E7" s="14"/>
      <c r="F7" s="15"/>
      <c r="G7" s="11"/>
      <c r="H7" s="11"/>
      <c r="I7" s="11"/>
      <c r="J7" s="11"/>
      <c r="K7" s="11"/>
      <c r="L7" s="11"/>
      <c r="M7" s="26"/>
      <c r="N7" s="87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339" t="s">
        <v>185</v>
      </c>
      <c r="AY7" s="339"/>
      <c r="AZ7" s="33"/>
      <c r="BA7" s="90"/>
      <c r="BB7" s="90"/>
      <c r="BC7" s="90"/>
      <c r="BD7" s="90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7"/>
      <c r="BS7" s="97"/>
      <c r="BT7" s="97"/>
      <c r="BU7" s="97"/>
      <c r="BV7" s="97"/>
      <c r="BW7" s="97"/>
      <c r="BX7" s="108"/>
      <c r="BY7" s="97"/>
      <c r="BZ7" s="97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113"/>
      <c r="CL7" s="113"/>
      <c r="CM7" s="113"/>
      <c r="CN7" s="113"/>
      <c r="CO7" s="120"/>
      <c r="CP7" s="120"/>
      <c r="CQ7" s="120"/>
      <c r="CR7" s="120"/>
      <c r="CS7" s="120"/>
      <c r="CT7" s="120"/>
      <c r="CU7" s="120"/>
      <c r="CV7" s="120"/>
      <c r="CW7" s="120"/>
      <c r="CX7" s="120"/>
      <c r="CY7" s="120"/>
      <c r="CZ7" s="120"/>
      <c r="DA7" s="120"/>
      <c r="DB7" s="120"/>
      <c r="DC7" s="120"/>
      <c r="DD7" s="120"/>
      <c r="DE7" s="113"/>
    </row>
    <row r="8" ht="30" customHeight="1">
      <c r="B8" s="328"/>
      <c r="C8" s="292" t="s">
        <v>186</v>
      </c>
      <c r="D8" s="287" t="s">
        <v>182</v>
      </c>
      <c r="E8" s="14"/>
      <c r="F8" s="15"/>
      <c r="G8" s="11"/>
      <c r="H8" s="11"/>
      <c r="I8" s="11"/>
      <c r="J8" s="11"/>
      <c r="K8" s="11"/>
      <c r="L8" s="11"/>
      <c r="M8" s="26"/>
      <c r="N8" s="26"/>
      <c r="O8" s="190"/>
      <c r="P8" s="191"/>
      <c r="Q8" s="190"/>
      <c r="R8" s="190"/>
      <c r="S8" s="11"/>
      <c r="T8" s="11"/>
      <c r="U8" s="10"/>
      <c r="V8" s="11"/>
      <c r="W8" s="11"/>
      <c r="X8" s="21"/>
      <c r="Y8" s="21"/>
      <c r="Z8" s="189"/>
      <c r="AA8" s="189"/>
      <c r="AB8" s="21"/>
      <c r="AC8" s="11"/>
      <c r="AD8" s="189"/>
      <c r="AE8" s="21"/>
      <c r="AF8" s="11"/>
      <c r="AG8" s="11"/>
      <c r="AH8" s="11"/>
      <c r="AI8" s="11"/>
      <c r="AJ8" s="11"/>
      <c r="AK8" s="11"/>
      <c r="AL8" s="196"/>
      <c r="AM8" s="197"/>
      <c r="AN8" s="197"/>
      <c r="AO8" s="197"/>
      <c r="AP8" s="197"/>
      <c r="AQ8" s="197"/>
      <c r="AR8" s="197"/>
      <c r="AS8" s="33"/>
      <c r="AT8" s="289"/>
      <c r="AU8" s="51"/>
      <c r="AV8" s="51"/>
      <c r="AW8" s="51"/>
      <c r="AX8" s="51"/>
      <c r="AY8" s="51"/>
      <c r="AZ8" s="51"/>
      <c r="BA8" s="90"/>
      <c r="BB8" s="90"/>
      <c r="BC8" s="90"/>
      <c r="BD8" s="90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108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113"/>
      <c r="CL8" s="113"/>
      <c r="CM8" s="113"/>
      <c r="CN8" s="113"/>
      <c r="CO8" s="120"/>
      <c r="CP8" s="120"/>
      <c r="CQ8" s="120"/>
      <c r="CR8" s="120"/>
      <c r="CS8" s="120"/>
      <c r="CT8" s="120"/>
      <c r="CU8" s="120"/>
      <c r="CV8" s="120"/>
      <c r="CW8" s="120"/>
      <c r="CX8" s="120"/>
      <c r="CY8" s="120"/>
      <c r="CZ8" s="120"/>
      <c r="DA8" s="120"/>
      <c r="DB8" s="120"/>
      <c r="DC8" s="120"/>
      <c r="DD8" s="120"/>
      <c r="DE8" s="113"/>
    </row>
    <row r="9" ht="30" customHeight="1">
      <c r="B9" s="328"/>
      <c r="C9" s="291" t="s">
        <v>187</v>
      </c>
      <c r="D9" s="104" t="s">
        <v>182</v>
      </c>
      <c r="E9" s="10"/>
      <c r="F9" s="11"/>
      <c r="G9" s="11"/>
      <c r="H9" s="11"/>
      <c r="I9" s="11"/>
      <c r="J9" s="11"/>
      <c r="K9" s="11"/>
      <c r="L9" s="11"/>
      <c r="M9" s="82"/>
      <c r="N9" s="82"/>
      <c r="O9" s="82"/>
      <c r="P9" s="81"/>
      <c r="Q9" s="82"/>
      <c r="R9" s="82"/>
      <c r="S9" s="82"/>
      <c r="T9" s="82"/>
      <c r="U9" s="71"/>
      <c r="V9" s="82"/>
      <c r="W9" s="82"/>
      <c r="X9" s="82"/>
      <c r="Y9" s="82"/>
      <c r="Z9" s="82"/>
      <c r="AA9" s="82"/>
      <c r="AB9" s="82"/>
      <c r="AC9" s="82"/>
      <c r="AD9" s="82"/>
      <c r="AE9" s="82"/>
      <c r="AF9" s="11"/>
      <c r="AG9" s="11"/>
      <c r="AH9" s="11"/>
      <c r="AI9" s="11"/>
      <c r="AJ9" s="11"/>
      <c r="AK9" s="11"/>
      <c r="AL9" s="11"/>
      <c r="AM9" s="11"/>
      <c r="AN9" s="11"/>
      <c r="AO9" s="197"/>
      <c r="AP9" s="197"/>
      <c r="AQ9" s="197"/>
      <c r="AR9" s="197"/>
      <c r="AS9" s="33"/>
      <c r="AT9" s="51"/>
      <c r="AU9" s="290"/>
      <c r="AV9" s="33"/>
      <c r="AW9" s="199"/>
      <c r="AX9" s="33"/>
      <c r="AY9" s="33"/>
      <c r="AZ9" s="33"/>
      <c r="BA9" s="90"/>
      <c r="BB9" s="90"/>
      <c r="BC9" s="90"/>
      <c r="BD9" s="90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08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20"/>
      <c r="CP9" s="120"/>
      <c r="CQ9" s="120"/>
      <c r="CR9" s="120"/>
      <c r="CS9" s="120"/>
      <c r="CT9" s="120"/>
      <c r="CU9" s="120"/>
      <c r="CV9" s="120"/>
      <c r="CW9" s="120"/>
      <c r="CX9" s="120"/>
      <c r="CY9" s="120"/>
      <c r="CZ9" s="120"/>
      <c r="DA9" s="120"/>
      <c r="DB9" s="120"/>
      <c r="DC9" s="120"/>
      <c r="DD9" s="120"/>
      <c r="DE9" s="113"/>
      <c r="DF9" s="116"/>
    </row>
    <row r="10" ht="30" customHeight="1">
      <c r="B10" s="328"/>
      <c r="C10" s="292" t="s">
        <v>188</v>
      </c>
      <c r="D10" s="202" t="s">
        <v>182</v>
      </c>
      <c r="E10" s="14"/>
      <c r="F10" s="15"/>
      <c r="G10" s="11"/>
      <c r="H10" s="11"/>
      <c r="I10" s="11"/>
      <c r="J10" s="11"/>
      <c r="K10" s="11"/>
      <c r="L10" s="32"/>
      <c r="M10" s="33"/>
      <c r="N10" s="33"/>
      <c r="O10" s="190"/>
      <c r="P10" s="191"/>
      <c r="Q10" s="190"/>
      <c r="R10" s="190"/>
      <c r="S10" s="45"/>
      <c r="T10" s="46"/>
      <c r="U10" s="46"/>
      <c r="V10" s="47"/>
      <c r="W10" s="193"/>
      <c r="X10" s="193"/>
      <c r="Y10" s="193"/>
      <c r="Z10" s="193"/>
      <c r="AA10" s="189"/>
      <c r="AB10" s="189"/>
      <c r="AC10" s="189"/>
      <c r="AD10" s="189"/>
      <c r="AE10" s="21"/>
      <c r="AF10" s="11"/>
      <c r="AG10" s="11"/>
      <c r="AH10" s="11"/>
      <c r="AI10" s="11"/>
      <c r="AJ10" s="11"/>
      <c r="AK10" s="11"/>
      <c r="AL10" s="11"/>
      <c r="AM10" s="11"/>
      <c r="AN10" s="11"/>
      <c r="AO10" s="197"/>
      <c r="AP10" s="197"/>
      <c r="AQ10" s="197"/>
      <c r="AR10" s="197"/>
      <c r="AS10" s="33"/>
      <c r="AT10" s="289"/>
      <c r="AU10" s="33"/>
      <c r="AV10" s="33"/>
      <c r="AW10" s="33"/>
      <c r="AX10" s="33"/>
      <c r="AY10" s="33"/>
      <c r="AZ10" s="33"/>
      <c r="BA10" s="90"/>
      <c r="BB10" s="90"/>
      <c r="BC10" s="90"/>
      <c r="BD10" s="90"/>
      <c r="BE10" s="97"/>
      <c r="BF10" s="97"/>
      <c r="BG10" s="97"/>
      <c r="BH10" s="97"/>
      <c r="BI10" s="97"/>
      <c r="BJ10" s="97"/>
      <c r="BK10" s="97"/>
      <c r="BL10" s="97"/>
      <c r="BM10" s="97"/>
      <c r="BN10" s="97"/>
      <c r="BO10" s="97"/>
      <c r="BP10" s="97"/>
      <c r="BQ10" s="97"/>
      <c r="BR10" s="97"/>
      <c r="BS10" s="97"/>
      <c r="BT10" s="97"/>
      <c r="BU10" s="97"/>
      <c r="BV10" s="97"/>
      <c r="BW10" s="97"/>
      <c r="BX10" s="108"/>
      <c r="BY10" s="97"/>
      <c r="BZ10" s="97"/>
      <c r="CA10" s="97"/>
      <c r="CB10" s="97"/>
      <c r="CC10" s="97"/>
      <c r="CD10" s="97"/>
      <c r="CE10" s="97"/>
      <c r="CF10" s="97"/>
      <c r="CG10" s="97"/>
      <c r="CH10" s="97"/>
      <c r="CI10" s="97"/>
      <c r="CJ10" s="97"/>
      <c r="CK10" s="113"/>
      <c r="CL10" s="113"/>
      <c r="CM10" s="113"/>
      <c r="CN10" s="113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13"/>
    </row>
    <row r="11" ht="28.5" customHeight="1">
      <c r="B11" s="328"/>
      <c r="C11" s="291" t="s">
        <v>189</v>
      </c>
      <c r="D11" s="201" t="s">
        <v>182</v>
      </c>
      <c r="E11" s="10"/>
      <c r="F11" s="11"/>
      <c r="G11" s="11"/>
      <c r="H11" s="11"/>
      <c r="I11" s="11"/>
      <c r="J11" s="11"/>
      <c r="K11" s="11"/>
      <c r="L11" s="11"/>
      <c r="M11" s="82"/>
      <c r="N11" s="82"/>
      <c r="O11" s="82"/>
      <c r="P11" s="81"/>
      <c r="Q11" s="82"/>
      <c r="R11" s="82"/>
      <c r="S11" s="82"/>
      <c r="T11" s="82"/>
      <c r="U11" s="71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11"/>
      <c r="AG11" s="11"/>
      <c r="AH11" s="11"/>
      <c r="AI11" s="11"/>
      <c r="AJ11" s="11"/>
      <c r="AK11" s="11"/>
      <c r="AL11" s="11"/>
      <c r="AM11" s="11"/>
      <c r="AN11" s="33"/>
      <c r="AO11" s="197"/>
      <c r="AP11" s="33"/>
      <c r="AQ11" s="33"/>
      <c r="AR11" s="197"/>
      <c r="AS11" s="199"/>
      <c r="AT11" s="51"/>
      <c r="AU11" s="290"/>
      <c r="AV11" s="33"/>
      <c r="AW11" s="199"/>
      <c r="AX11" s="33"/>
      <c r="AY11" s="33"/>
      <c r="AZ11" s="33"/>
      <c r="BA11" s="90"/>
      <c r="BB11" s="90"/>
      <c r="BC11" s="90"/>
      <c r="BD11" s="90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08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20"/>
      <c r="CP11" s="120"/>
      <c r="CQ11" s="120"/>
      <c r="CR11" s="120"/>
      <c r="CS11" s="120"/>
      <c r="CT11" s="120"/>
      <c r="CU11" s="120"/>
      <c r="CV11" s="120"/>
      <c r="CW11" s="120"/>
      <c r="CX11" s="120"/>
      <c r="CY11" s="120"/>
      <c r="CZ11" s="120"/>
      <c r="DA11" s="120"/>
      <c r="DB11" s="120"/>
      <c r="DC11" s="120"/>
      <c r="DD11" s="120"/>
      <c r="DE11" s="113"/>
      <c r="DF11" s="116"/>
    </row>
    <row r="12" ht="16.5" customHeight="1">
      <c r="B12" s="328"/>
      <c r="C12" s="194" t="s">
        <v>190</v>
      </c>
      <c r="D12" s="201" t="s">
        <v>182</v>
      </c>
      <c r="E12" s="10"/>
      <c r="F12" s="11"/>
      <c r="G12" s="11"/>
      <c r="H12" s="11"/>
      <c r="I12" s="11"/>
      <c r="J12" s="11"/>
      <c r="K12" s="11"/>
      <c r="L12" s="11"/>
      <c r="M12" s="82"/>
      <c r="N12" s="82"/>
      <c r="O12" s="82"/>
      <c r="P12" s="81"/>
      <c r="Q12" s="82"/>
      <c r="R12" s="82"/>
      <c r="S12" s="82"/>
      <c r="T12" s="82"/>
      <c r="U12" s="71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11"/>
      <c r="AG12" s="11"/>
      <c r="AH12" s="11"/>
      <c r="AI12" s="11"/>
      <c r="AJ12" s="11"/>
      <c r="AK12" s="11"/>
      <c r="AL12" s="11"/>
      <c r="AM12" s="11"/>
      <c r="AN12" s="11"/>
      <c r="AO12" s="197"/>
      <c r="AP12" s="33"/>
      <c r="AQ12" s="33"/>
      <c r="AR12" s="197"/>
      <c r="AS12" s="199"/>
      <c r="AT12" s="33"/>
      <c r="AU12" s="51"/>
      <c r="AV12" s="289"/>
      <c r="AW12" s="51"/>
      <c r="AX12" s="33"/>
      <c r="AY12" s="33"/>
      <c r="AZ12" s="33"/>
      <c r="BA12" s="90"/>
      <c r="BB12" s="90"/>
      <c r="BC12" s="90"/>
      <c r="BD12" s="90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08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  <c r="CN12" s="113"/>
      <c r="CO12" s="120"/>
      <c r="CP12" s="120"/>
      <c r="CQ12" s="120"/>
      <c r="CR12" s="120"/>
      <c r="CS12" s="120"/>
      <c r="CT12" s="120"/>
      <c r="CU12" s="120"/>
      <c r="CV12" s="120"/>
      <c r="CW12" s="120"/>
      <c r="CX12" s="120"/>
      <c r="CY12" s="120"/>
      <c r="CZ12" s="120"/>
      <c r="DA12" s="120"/>
      <c r="DB12" s="120"/>
      <c r="DC12" s="120"/>
      <c r="DD12" s="120"/>
      <c r="DE12" s="113"/>
      <c r="DF12" s="116"/>
    </row>
    <row r="13" ht="30" customHeight="1">
      <c r="B13" s="328"/>
      <c r="C13" s="194" t="s">
        <v>191</v>
      </c>
      <c r="D13" s="201" t="s">
        <v>182</v>
      </c>
      <c r="E13" s="10"/>
      <c r="F13" s="11"/>
      <c r="G13" s="11"/>
      <c r="H13" s="11"/>
      <c r="I13" s="11"/>
      <c r="J13" s="11"/>
      <c r="K13" s="11"/>
      <c r="L13" s="11"/>
      <c r="M13" s="82"/>
      <c r="N13" s="82"/>
      <c r="O13" s="82"/>
      <c r="P13" s="81"/>
      <c r="Q13" s="82"/>
      <c r="R13" s="82"/>
      <c r="S13" s="82"/>
      <c r="T13" s="82"/>
      <c r="U13" s="71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11"/>
      <c r="AG13" s="11"/>
      <c r="AH13" s="11"/>
      <c r="AI13" s="11"/>
      <c r="AJ13" s="188"/>
      <c r="AK13" s="11"/>
      <c r="AL13" s="11"/>
      <c r="AM13" s="32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90"/>
      <c r="BB13" s="90"/>
      <c r="BC13" s="90"/>
      <c r="BD13" s="90"/>
      <c r="BE13" s="113"/>
      <c r="BF13" s="113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08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20"/>
      <c r="CP13" s="120"/>
      <c r="CQ13" s="120"/>
      <c r="CR13" s="120"/>
      <c r="CS13" s="120"/>
      <c r="CT13" s="120"/>
      <c r="CU13" s="120"/>
      <c r="CV13" s="120"/>
      <c r="CW13" s="120"/>
      <c r="CX13" s="120"/>
      <c r="CY13" s="120"/>
      <c r="CZ13" s="120"/>
      <c r="DA13" s="120"/>
      <c r="DB13" s="120"/>
      <c r="DC13" s="120"/>
      <c r="DD13" s="120"/>
      <c r="DE13" s="113"/>
      <c r="DF13" s="116"/>
    </row>
    <row r="14" ht="16.5" customHeight="1">
      <c r="B14" s="328"/>
      <c r="C14" s="291" t="s">
        <v>192</v>
      </c>
      <c r="D14" s="201" t="s">
        <v>182</v>
      </c>
      <c r="E14" s="10"/>
      <c r="F14" s="11"/>
      <c r="G14" s="11"/>
      <c r="H14" s="11"/>
      <c r="I14" s="11"/>
      <c r="J14" s="11"/>
      <c r="K14" s="11"/>
      <c r="L14" s="11"/>
      <c r="M14" s="82"/>
      <c r="N14" s="82"/>
      <c r="O14" s="82"/>
      <c r="P14" s="81"/>
      <c r="Q14" s="82"/>
      <c r="R14" s="82"/>
      <c r="S14" s="82"/>
      <c r="T14" s="82"/>
      <c r="U14" s="71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11"/>
      <c r="AG14" s="11"/>
      <c r="AH14" s="11"/>
      <c r="AI14" s="11"/>
      <c r="AJ14" s="11"/>
      <c r="AK14" s="11"/>
      <c r="AL14" s="11"/>
      <c r="AM14" s="11"/>
      <c r="AN14" s="33"/>
      <c r="AO14" s="33"/>
      <c r="AP14" s="33"/>
      <c r="AQ14" s="33"/>
      <c r="AR14" s="197"/>
      <c r="AS14" s="197"/>
      <c r="AT14" s="197"/>
      <c r="AU14" s="33"/>
      <c r="AV14" s="193"/>
      <c r="AW14" s="199"/>
      <c r="AX14" s="33"/>
      <c r="AY14" s="33"/>
      <c r="AZ14" s="33"/>
      <c r="BA14" s="90"/>
      <c r="BB14" s="90"/>
      <c r="BC14" s="90"/>
      <c r="BD14" s="90"/>
      <c r="BE14" s="113"/>
      <c r="BF14" s="113"/>
      <c r="BG14" s="113"/>
      <c r="BH14" s="113"/>
      <c r="BI14" s="113"/>
      <c r="BJ14" s="113"/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3"/>
      <c r="BX14" s="108"/>
      <c r="BY14" s="113"/>
      <c r="BZ14" s="113"/>
      <c r="CA14" s="113"/>
      <c r="CB14" s="113"/>
      <c r="CC14" s="113"/>
      <c r="CD14" s="113"/>
      <c r="CE14" s="113"/>
      <c r="CF14" s="113"/>
      <c r="CG14" s="113"/>
      <c r="CH14" s="113"/>
      <c r="CI14" s="113"/>
      <c r="CJ14" s="113"/>
      <c r="CK14" s="113"/>
      <c r="CL14" s="113"/>
      <c r="CM14" s="113"/>
      <c r="CN14" s="113"/>
      <c r="CO14" s="120"/>
      <c r="CP14" s="120"/>
      <c r="CQ14" s="120"/>
      <c r="CR14" s="120"/>
      <c r="CS14" s="120"/>
      <c r="CT14" s="120"/>
      <c r="CU14" s="120"/>
      <c r="CV14" s="120"/>
      <c r="CW14" s="120"/>
      <c r="CX14" s="120"/>
      <c r="CY14" s="120"/>
      <c r="CZ14" s="120"/>
      <c r="DA14" s="120"/>
      <c r="DB14" s="120"/>
      <c r="DC14" s="120"/>
      <c r="DD14" s="120"/>
      <c r="DE14" s="113"/>
      <c r="DF14" s="116"/>
    </row>
    <row r="15" ht="30" customHeight="1">
      <c r="B15" s="328"/>
      <c r="C15" s="291" t="s">
        <v>193</v>
      </c>
      <c r="D15" s="201" t="s">
        <v>182</v>
      </c>
      <c r="E15" s="10"/>
      <c r="F15" s="11"/>
      <c r="G15" s="11"/>
      <c r="H15" s="11"/>
      <c r="I15" s="11"/>
      <c r="J15" s="11"/>
      <c r="K15" s="11"/>
      <c r="L15" s="11"/>
      <c r="M15" s="82"/>
      <c r="N15" s="82"/>
      <c r="O15" s="82"/>
      <c r="P15" s="81"/>
      <c r="Q15" s="82"/>
      <c r="R15" s="82"/>
      <c r="S15" s="82"/>
      <c r="T15" s="82"/>
      <c r="U15" s="71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11"/>
      <c r="AG15" s="11"/>
      <c r="AH15" s="11"/>
      <c r="AI15" s="11"/>
      <c r="AJ15" s="11"/>
      <c r="AK15" s="11"/>
      <c r="AL15" s="11"/>
      <c r="AM15" s="11"/>
      <c r="AN15" s="33"/>
      <c r="AO15" s="33"/>
      <c r="AP15" s="33"/>
      <c r="AQ15" s="33"/>
      <c r="AR15" s="197"/>
      <c r="AS15" s="197"/>
      <c r="AT15" s="197"/>
      <c r="AU15" s="33"/>
      <c r="AV15" s="289"/>
      <c r="AW15" s="33"/>
      <c r="AX15" s="33"/>
      <c r="AY15" s="33"/>
      <c r="AZ15" s="33"/>
      <c r="BA15" s="90"/>
      <c r="BB15" s="90"/>
      <c r="BC15" s="90"/>
      <c r="BD15" s="90"/>
      <c r="BE15" s="113"/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08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13"/>
      <c r="DF15" s="116"/>
    </row>
    <row r="16" ht="16.5" customHeight="1">
      <c r="B16" s="328"/>
      <c r="C16" s="291" t="s">
        <v>194</v>
      </c>
      <c r="D16" s="201" t="s">
        <v>182</v>
      </c>
      <c r="E16" s="10"/>
      <c r="F16" s="11"/>
      <c r="G16" s="11"/>
      <c r="H16" s="11"/>
      <c r="I16" s="11"/>
      <c r="J16" s="11"/>
      <c r="K16" s="11"/>
      <c r="L16" s="11"/>
      <c r="M16" s="58"/>
      <c r="N16" s="82"/>
      <c r="O16" s="82"/>
      <c r="P16" s="81"/>
      <c r="Q16" s="82"/>
      <c r="R16" s="82"/>
      <c r="S16" s="82"/>
      <c r="T16" s="82"/>
      <c r="U16" s="71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11"/>
      <c r="AG16" s="11"/>
      <c r="AH16" s="11"/>
      <c r="AI16" s="11"/>
      <c r="AJ16" s="11"/>
      <c r="AK16" s="11"/>
      <c r="AL16" s="11"/>
      <c r="AM16" s="11"/>
      <c r="AN16" s="197"/>
      <c r="AO16" s="197"/>
      <c r="AP16" s="197"/>
      <c r="AQ16" s="33"/>
      <c r="AR16" s="199"/>
      <c r="AS16" s="199"/>
      <c r="AT16" s="33"/>
      <c r="AU16" s="290"/>
      <c r="AV16" s="289"/>
      <c r="AW16" s="51"/>
      <c r="AX16" s="33"/>
      <c r="AY16" s="33"/>
      <c r="AZ16" s="33"/>
      <c r="BA16" s="90"/>
      <c r="BB16" s="90"/>
      <c r="BC16" s="90"/>
      <c r="BD16" s="90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08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20"/>
      <c r="CP16" s="120"/>
      <c r="CQ16" s="120"/>
      <c r="CR16" s="120"/>
      <c r="CS16" s="120"/>
      <c r="CT16" s="120"/>
      <c r="CU16" s="120"/>
      <c r="CV16" s="120"/>
      <c r="CW16" s="120"/>
      <c r="CX16" s="120"/>
      <c r="CY16" s="120"/>
      <c r="CZ16" s="120"/>
      <c r="DA16" s="120"/>
      <c r="DB16" s="120"/>
      <c r="DC16" s="120"/>
      <c r="DD16" s="120"/>
      <c r="DE16" s="113"/>
      <c r="DF16" s="116"/>
    </row>
    <row r="17" ht="30" customHeight="1">
      <c r="B17" s="328"/>
      <c r="C17" s="292" t="s">
        <v>195</v>
      </c>
      <c r="D17" s="203" t="s">
        <v>182</v>
      </c>
      <c r="E17" s="14"/>
      <c r="F17" s="15"/>
      <c r="G17" s="11"/>
      <c r="H17" s="11"/>
      <c r="I17" s="11"/>
      <c r="J17" s="11"/>
      <c r="K17" s="11"/>
      <c r="L17" s="11"/>
      <c r="M17" s="34"/>
      <c r="N17" s="33"/>
      <c r="O17" s="192"/>
      <c r="P17" s="192"/>
      <c r="Q17" s="192"/>
      <c r="R17" s="192"/>
      <c r="S17" s="49"/>
      <c r="T17" s="26"/>
      <c r="U17" s="49"/>
      <c r="V17" s="26"/>
      <c r="W17" s="26"/>
      <c r="X17" s="11"/>
      <c r="Y17" s="11"/>
      <c r="Z17" s="11"/>
      <c r="AA17" s="189"/>
      <c r="AB17" s="189"/>
      <c r="AC17" s="189"/>
      <c r="AD17" s="189"/>
      <c r="AE17" s="11"/>
      <c r="AF17" s="11"/>
      <c r="AG17" s="11"/>
      <c r="AH17" s="11"/>
      <c r="AI17" s="11"/>
      <c r="AJ17" s="11"/>
      <c r="AK17" s="11"/>
      <c r="AL17" s="11"/>
      <c r="AM17" s="32"/>
      <c r="AN17" s="32"/>
      <c r="AO17" s="33"/>
      <c r="AP17" s="33"/>
      <c r="AQ17" s="33"/>
      <c r="AR17" s="33"/>
      <c r="AS17" s="198"/>
      <c r="AT17" s="198"/>
      <c r="AU17" s="33"/>
      <c r="AV17" s="33"/>
      <c r="AW17" s="199"/>
      <c r="AX17" s="33"/>
      <c r="AY17" s="33"/>
      <c r="AZ17" s="33"/>
      <c r="BA17" s="90"/>
      <c r="BB17" s="90"/>
      <c r="BC17" s="90"/>
      <c r="BD17" s="90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108"/>
      <c r="BY17" s="97"/>
      <c r="BZ17" s="97"/>
      <c r="CA17" s="97"/>
      <c r="CB17" s="97"/>
      <c r="CC17" s="97"/>
      <c r="CD17" s="97"/>
      <c r="CE17" s="97"/>
      <c r="CF17" s="97"/>
      <c r="CG17" s="97"/>
      <c r="CH17" s="97"/>
      <c r="CI17" s="97"/>
      <c r="CJ17" s="97"/>
      <c r="CK17" s="113"/>
      <c r="CL17" s="113"/>
      <c r="CM17" s="113"/>
      <c r="CN17" s="113"/>
      <c r="CO17" s="120"/>
      <c r="CP17" s="120"/>
      <c r="CQ17" s="120"/>
      <c r="CR17" s="120"/>
      <c r="CS17" s="120"/>
      <c r="CT17" s="120"/>
      <c r="CU17" s="120"/>
      <c r="CV17" s="120"/>
      <c r="CW17" s="120"/>
      <c r="CX17" s="120"/>
      <c r="CY17" s="120"/>
      <c r="CZ17" s="120"/>
      <c r="DA17" s="120"/>
      <c r="DB17" s="120"/>
      <c r="DC17" s="120"/>
      <c r="DD17" s="120"/>
      <c r="DE17" s="113"/>
    </row>
    <row r="18" ht="30" customHeight="1">
      <c r="B18" s="328"/>
      <c r="C18" s="185" t="s">
        <v>196</v>
      </c>
      <c r="D18" s="18" t="s">
        <v>197</v>
      </c>
      <c r="E18" s="14"/>
      <c r="F18" s="15"/>
      <c r="G18" s="11"/>
      <c r="H18" s="11"/>
      <c r="I18" s="11"/>
      <c r="J18" s="11"/>
      <c r="K18" s="11"/>
      <c r="L18" s="11"/>
      <c r="M18" s="32"/>
      <c r="N18" s="33"/>
      <c r="O18" s="192"/>
      <c r="P18" s="192"/>
      <c r="Q18" s="192"/>
      <c r="R18" s="192"/>
      <c r="S18" s="49"/>
      <c r="T18" s="26"/>
      <c r="U18" s="49"/>
      <c r="V18" s="26"/>
      <c r="W18" s="26"/>
      <c r="X18" s="11"/>
      <c r="Y18" s="11"/>
      <c r="Z18" s="11"/>
      <c r="AA18" s="189"/>
      <c r="AB18" s="11"/>
      <c r="AC18" s="11"/>
      <c r="AD18" s="189"/>
      <c r="AE18" s="11"/>
      <c r="AF18" s="11"/>
      <c r="AG18" s="11"/>
      <c r="AH18" s="11"/>
      <c r="AI18" s="11"/>
      <c r="AJ18" s="11"/>
      <c r="AK18" s="11"/>
      <c r="AL18" s="11"/>
      <c r="AM18" s="32"/>
      <c r="AN18" s="32"/>
      <c r="AO18" s="33"/>
      <c r="AP18" s="33"/>
      <c r="AQ18" s="33"/>
      <c r="AR18" s="33"/>
      <c r="AS18" s="198"/>
      <c r="AT18" s="198"/>
      <c r="AU18" s="33"/>
      <c r="AV18" s="33"/>
      <c r="AW18" s="199"/>
      <c r="AX18" s="33"/>
      <c r="AY18" s="33"/>
      <c r="AZ18" s="33"/>
      <c r="BA18" s="90"/>
      <c r="BB18" s="90"/>
      <c r="BC18" s="90"/>
      <c r="BD18" s="90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108"/>
      <c r="BY18" s="97"/>
      <c r="BZ18" s="97"/>
      <c r="CA18" s="97"/>
      <c r="CB18" s="97"/>
      <c r="CC18" s="97"/>
      <c r="CD18" s="97"/>
      <c r="CE18" s="97"/>
      <c r="CF18" s="97"/>
      <c r="CG18" s="97"/>
      <c r="CH18" s="97"/>
      <c r="CI18" s="97"/>
      <c r="CJ18" s="97"/>
      <c r="CK18" s="113"/>
      <c r="CL18" s="113"/>
      <c r="CM18" s="113"/>
      <c r="CN18" s="113"/>
      <c r="CO18" s="120"/>
      <c r="CP18" s="120"/>
      <c r="CQ18" s="120"/>
      <c r="CR18" s="120"/>
      <c r="CS18" s="120"/>
      <c r="CT18" s="120"/>
      <c r="CU18" s="120"/>
      <c r="CV18" s="120"/>
      <c r="CW18" s="120"/>
      <c r="CX18" s="120"/>
      <c r="CY18" s="120"/>
      <c r="CZ18" s="120"/>
      <c r="DA18" s="120"/>
      <c r="DB18" s="120"/>
      <c r="DC18" s="120"/>
      <c r="DD18" s="120"/>
      <c r="DE18" s="113"/>
    </row>
    <row r="19" ht="30" customHeight="1">
      <c r="B19" s="328"/>
      <c r="C19" s="292" t="s">
        <v>198</v>
      </c>
      <c r="D19" s="18" t="s">
        <v>197</v>
      </c>
      <c r="E19" s="14"/>
      <c r="F19" s="15"/>
      <c r="G19" s="11"/>
      <c r="H19" s="11"/>
      <c r="I19" s="11"/>
      <c r="J19" s="11"/>
      <c r="K19" s="11"/>
      <c r="L19" s="11"/>
      <c r="M19" s="32"/>
      <c r="N19" s="33"/>
      <c r="O19" s="36"/>
      <c r="P19" s="36"/>
      <c r="Q19" s="36"/>
      <c r="R19" s="36"/>
      <c r="S19" s="49"/>
      <c r="T19" s="26"/>
      <c r="U19" s="49"/>
      <c r="V19" s="26"/>
      <c r="W19" s="26"/>
      <c r="X19" s="26"/>
      <c r="Y19" s="11"/>
      <c r="Z19" s="189"/>
      <c r="AA19" s="189"/>
      <c r="AB19" s="11"/>
      <c r="AC19" s="189"/>
      <c r="AD19" s="189"/>
      <c r="AE19" s="11"/>
      <c r="AF19" s="11"/>
      <c r="AG19" s="11"/>
      <c r="AH19" s="11"/>
      <c r="AI19" s="11"/>
      <c r="AJ19" s="11"/>
      <c r="AK19" s="11"/>
      <c r="AL19" s="11"/>
      <c r="AM19" s="11"/>
      <c r="AN19" s="33"/>
      <c r="AO19" s="197"/>
      <c r="AP19" s="197"/>
      <c r="AQ19" s="33"/>
      <c r="AR19" s="33"/>
      <c r="AS19" s="33"/>
      <c r="AT19" s="289"/>
      <c r="AU19" s="33"/>
      <c r="AV19" s="33"/>
      <c r="AW19" s="33"/>
      <c r="AX19" s="33"/>
      <c r="AY19" s="33"/>
      <c r="AZ19" s="33"/>
      <c r="BA19" s="90"/>
      <c r="BB19" s="90"/>
      <c r="BC19" s="90"/>
      <c r="BD19" s="90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108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K19" s="113"/>
      <c r="CL19" s="113"/>
      <c r="CM19" s="113"/>
      <c r="CN19" s="113"/>
      <c r="CO19" s="120"/>
      <c r="CP19" s="120"/>
      <c r="CQ19" s="120"/>
      <c r="CR19" s="120"/>
      <c r="CS19" s="120"/>
      <c r="CT19" s="120"/>
      <c r="CU19" s="120"/>
      <c r="CV19" s="120"/>
      <c r="CW19" s="120"/>
      <c r="CX19" s="120"/>
      <c r="CY19" s="120"/>
      <c r="CZ19" s="120"/>
      <c r="DA19" s="120"/>
      <c r="DB19" s="120"/>
      <c r="DC19" s="120"/>
      <c r="DD19" s="120"/>
      <c r="DE19" s="113"/>
    </row>
    <row r="20" ht="30" customHeight="1">
      <c r="B20" s="328"/>
      <c r="C20" s="185" t="s">
        <v>199</v>
      </c>
      <c r="D20" s="18" t="s">
        <v>197</v>
      </c>
      <c r="E20" s="14"/>
      <c r="F20" s="15"/>
      <c r="G20" s="11"/>
      <c r="H20" s="11"/>
      <c r="I20" s="11"/>
      <c r="J20" s="11"/>
      <c r="K20" s="11"/>
      <c r="L20" s="11"/>
      <c r="M20" s="32"/>
      <c r="N20" s="33"/>
      <c r="O20" s="36"/>
      <c r="P20" s="36"/>
      <c r="Q20" s="36"/>
      <c r="R20" s="36"/>
      <c r="S20" s="49"/>
      <c r="T20" s="50"/>
      <c r="U20" s="33"/>
      <c r="V20" s="33"/>
      <c r="W20" s="33"/>
      <c r="X20" s="51"/>
      <c r="Y20" s="11"/>
      <c r="Z20" s="189"/>
      <c r="AA20" s="189"/>
      <c r="AB20" s="189"/>
      <c r="AC20" s="11"/>
      <c r="AD20" s="189"/>
      <c r="AE20" s="11"/>
      <c r="AF20" s="11"/>
      <c r="AG20" s="11"/>
      <c r="AH20" s="11"/>
      <c r="AI20" s="11"/>
      <c r="AJ20" s="11"/>
      <c r="AK20" s="11"/>
      <c r="AL20" s="11"/>
      <c r="AM20" s="32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197"/>
      <c r="AY20" s="197"/>
      <c r="AZ20" s="197"/>
      <c r="BA20" s="90"/>
      <c r="BB20" s="90"/>
      <c r="BC20" s="90"/>
      <c r="BD20" s="90"/>
      <c r="BE20" s="97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7"/>
      <c r="BT20" s="97"/>
      <c r="BU20" s="97"/>
      <c r="BV20" s="97"/>
      <c r="BW20" s="97"/>
      <c r="BX20" s="108"/>
      <c r="BY20" s="97"/>
      <c r="BZ20" s="97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113"/>
      <c r="CL20" s="113"/>
      <c r="CM20" s="113"/>
      <c r="CN20" s="113"/>
      <c r="CO20" s="120"/>
      <c r="CP20" s="120"/>
      <c r="CQ20" s="120"/>
      <c r="CR20" s="120"/>
      <c r="CS20" s="120"/>
      <c r="CT20" s="120"/>
      <c r="CU20" s="120"/>
      <c r="CV20" s="120"/>
      <c r="CW20" s="120"/>
      <c r="CX20" s="120"/>
      <c r="CY20" s="120"/>
      <c r="CZ20" s="120"/>
      <c r="DA20" s="120"/>
      <c r="DB20" s="120"/>
      <c r="DC20" s="120"/>
      <c r="DD20" s="120"/>
      <c r="DE20" s="113"/>
    </row>
    <row r="21" ht="30" customHeight="1">
      <c r="B21" s="328"/>
      <c r="C21" s="185" t="s">
        <v>200</v>
      </c>
      <c r="D21" s="18" t="s">
        <v>201</v>
      </c>
      <c r="E21" s="14"/>
      <c r="F21" s="15"/>
      <c r="G21" s="11"/>
      <c r="H21" s="11"/>
      <c r="I21" s="11"/>
      <c r="J21" s="11"/>
      <c r="K21" s="11"/>
      <c r="L21" s="11"/>
      <c r="M21" s="32"/>
      <c r="N21" s="37"/>
      <c r="O21" s="37"/>
      <c r="P21" s="37"/>
      <c r="Q21" s="37"/>
      <c r="R21" s="52"/>
      <c r="S21" s="26"/>
      <c r="T21" s="26"/>
      <c r="U21" s="49"/>
      <c r="V21" s="26"/>
      <c r="W21" s="26"/>
      <c r="X21" s="11"/>
      <c r="Y21" s="11"/>
      <c r="Z21" s="11"/>
      <c r="AA21" s="189"/>
      <c r="AB21" s="189"/>
      <c r="AC21" s="11"/>
      <c r="AD21" s="11"/>
      <c r="AE21" s="11"/>
      <c r="AF21" s="11"/>
      <c r="AG21" s="11"/>
      <c r="AH21" s="11"/>
      <c r="AI21" s="11"/>
      <c r="AJ21" s="11"/>
      <c r="AK21" s="11"/>
      <c r="AL21" s="196"/>
      <c r="AM21" s="32"/>
      <c r="AN21" s="33"/>
      <c r="AO21" s="33"/>
      <c r="AP21" s="33"/>
      <c r="AQ21" s="33"/>
      <c r="AR21" s="33"/>
      <c r="AS21" s="33"/>
      <c r="AT21" s="33"/>
      <c r="AU21" s="33"/>
      <c r="AV21" s="289"/>
      <c r="AW21" s="33"/>
      <c r="AX21" s="33"/>
      <c r="AY21" s="33"/>
      <c r="AZ21" s="33"/>
      <c r="BA21" s="90"/>
      <c r="BB21" s="90"/>
      <c r="BC21" s="90"/>
      <c r="BD21" s="90"/>
      <c r="BE21" s="97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7"/>
      <c r="BT21" s="97"/>
      <c r="BU21" s="97"/>
      <c r="BV21" s="97"/>
      <c r="BW21" s="97"/>
      <c r="BX21" s="108"/>
      <c r="BY21" s="97"/>
      <c r="BZ21" s="97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113"/>
      <c r="CL21" s="113"/>
      <c r="CM21" s="113"/>
      <c r="CN21" s="113"/>
      <c r="CO21" s="120"/>
      <c r="CP21" s="120"/>
      <c r="CQ21" s="120"/>
      <c r="CR21" s="120"/>
      <c r="CS21" s="120"/>
      <c r="CT21" s="120"/>
      <c r="CU21" s="120"/>
      <c r="CV21" s="120"/>
      <c r="CW21" s="120"/>
      <c r="CX21" s="120"/>
      <c r="CY21" s="120"/>
      <c r="CZ21" s="120"/>
      <c r="DA21" s="120"/>
      <c r="DB21" s="120"/>
      <c r="DC21" s="120"/>
      <c r="DD21" s="120"/>
      <c r="DE21" s="113"/>
    </row>
    <row r="22" ht="30" customHeight="1">
      <c r="B22" s="330"/>
      <c r="C22" s="293" t="s">
        <v>202</v>
      </c>
      <c r="D22" s="39" t="s">
        <v>203</v>
      </c>
      <c r="E22" s="14"/>
      <c r="F22" s="15"/>
      <c r="G22" s="11"/>
      <c r="H22" s="11"/>
      <c r="I22" s="11"/>
      <c r="J22" s="11"/>
      <c r="K22" s="11"/>
      <c r="L22" s="11"/>
      <c r="M22" s="32"/>
      <c r="N22" s="9"/>
      <c r="O22" s="9"/>
      <c r="P22" s="33"/>
      <c r="Q22" s="33"/>
      <c r="R22" s="53"/>
      <c r="S22" s="26"/>
      <c r="T22" s="26"/>
      <c r="U22" s="49"/>
      <c r="V22" s="26"/>
      <c r="W22" s="26"/>
      <c r="X22" s="26"/>
      <c r="Y22" s="26"/>
      <c r="Z22" s="26"/>
      <c r="AA22" s="11"/>
      <c r="AB22" s="189"/>
      <c r="AC22" s="189"/>
      <c r="AD22" s="189"/>
      <c r="AE22" s="11"/>
      <c r="AF22" s="11"/>
      <c r="AG22" s="11"/>
      <c r="AH22" s="11"/>
      <c r="AI22" s="11"/>
      <c r="AJ22" s="11"/>
      <c r="AK22" s="11"/>
      <c r="AL22" s="11"/>
      <c r="AM22" s="81"/>
      <c r="AN22" s="78"/>
      <c r="AO22" s="78"/>
      <c r="AP22" s="78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90"/>
      <c r="BB22" s="90"/>
      <c r="BC22" s="90"/>
      <c r="BD22" s="90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  <c r="BT22" s="97"/>
      <c r="BU22" s="97"/>
      <c r="BV22" s="97"/>
      <c r="BW22" s="97"/>
      <c r="BX22" s="108"/>
      <c r="BY22" s="97"/>
      <c r="BZ22" s="97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113"/>
      <c r="CL22" s="113"/>
      <c r="CM22" s="113"/>
      <c r="CN22" s="113"/>
      <c r="CO22" s="120"/>
      <c r="CP22" s="120"/>
      <c r="CQ22" s="120"/>
      <c r="CR22" s="120"/>
      <c r="CS22" s="120"/>
      <c r="CT22" s="120"/>
      <c r="CU22" s="120"/>
      <c r="CV22" s="120"/>
      <c r="CW22" s="120"/>
      <c r="CX22" s="120"/>
      <c r="CY22" s="120"/>
      <c r="CZ22" s="120"/>
      <c r="DA22" s="120"/>
      <c r="DB22" s="120"/>
      <c r="DC22" s="120"/>
      <c r="DD22" s="120"/>
      <c r="DE22" s="113"/>
    </row>
    <row r="23" ht="30" customHeight="1">
      <c r="B23" s="16"/>
      <c r="C23" s="294" t="s">
        <v>204</v>
      </c>
      <c r="D23" s="39" t="s">
        <v>205</v>
      </c>
      <c r="E23" s="14"/>
      <c r="F23" s="15"/>
      <c r="G23" s="11"/>
      <c r="H23" s="11"/>
      <c r="I23" s="11"/>
      <c r="J23" s="11"/>
      <c r="K23" s="11"/>
      <c r="L23" s="11"/>
      <c r="M23" s="32"/>
      <c r="N23" s="9"/>
      <c r="O23" s="9"/>
      <c r="P23" s="33"/>
      <c r="Q23" s="33"/>
      <c r="R23" s="54"/>
      <c r="S23" s="55"/>
      <c r="T23" s="55"/>
      <c r="U23" s="56"/>
      <c r="V23" s="55"/>
      <c r="W23" s="55"/>
      <c r="X23" s="57"/>
      <c r="Y23" s="55"/>
      <c r="Z23" s="55"/>
      <c r="AA23" s="71"/>
      <c r="AB23" s="189"/>
      <c r="AC23" s="73"/>
      <c r="AD23" s="73"/>
      <c r="AE23" s="73"/>
      <c r="AF23" s="73"/>
      <c r="AG23" s="73"/>
      <c r="AH23" s="73"/>
      <c r="AI23" s="73"/>
      <c r="AJ23" s="73"/>
      <c r="AK23" s="82"/>
      <c r="AL23" s="82"/>
      <c r="AM23" s="50"/>
      <c r="AN23" s="33"/>
      <c r="AO23" s="33"/>
      <c r="AP23" s="198"/>
      <c r="AQ23" s="87"/>
      <c r="AR23" s="199"/>
      <c r="AS23" s="87"/>
      <c r="AT23" s="87"/>
      <c r="AU23" s="87"/>
      <c r="AV23" s="289"/>
      <c r="AW23" s="87"/>
      <c r="AX23" s="87"/>
      <c r="AY23" s="87"/>
      <c r="AZ23" s="87"/>
      <c r="BA23" s="91"/>
      <c r="BB23" s="91"/>
      <c r="BC23" s="91"/>
      <c r="BD23" s="91"/>
      <c r="BE23" s="99"/>
      <c r="BF23" s="99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108"/>
      <c r="BY23" s="97"/>
      <c r="BZ23" s="97"/>
      <c r="CA23" s="97"/>
      <c r="CB23" s="97"/>
      <c r="CC23" s="97"/>
      <c r="CD23" s="97"/>
      <c r="CE23" s="97"/>
      <c r="CF23" s="97"/>
      <c r="CG23" s="97"/>
      <c r="CH23" s="97"/>
      <c r="CI23" s="97"/>
      <c r="CJ23" s="97"/>
      <c r="CK23" s="113"/>
      <c r="CL23" s="113"/>
      <c r="CM23" s="113"/>
      <c r="CN23" s="113"/>
      <c r="CO23" s="120"/>
      <c r="CP23" s="120"/>
      <c r="CQ23" s="120"/>
      <c r="CR23" s="120"/>
      <c r="CS23" s="120"/>
      <c r="CT23" s="120"/>
      <c r="CU23" s="120"/>
      <c r="CV23" s="120"/>
      <c r="CW23" s="120"/>
      <c r="CX23" s="120"/>
      <c r="CY23" s="120"/>
      <c r="CZ23" s="120"/>
      <c r="DA23" s="120"/>
      <c r="DB23" s="120"/>
      <c r="DC23" s="120"/>
      <c r="DD23" s="120"/>
      <c r="DE23" s="113"/>
    </row>
    <row r="24" ht="49.5" customHeight="1">
      <c r="B24" s="7"/>
      <c r="C24" s="287" t="s">
        <v>206</v>
      </c>
      <c r="D24" s="39" t="s">
        <v>207</v>
      </c>
      <c r="E24" s="14"/>
      <c r="F24" s="15"/>
      <c r="G24" s="11"/>
      <c r="H24" s="11"/>
      <c r="I24" s="11"/>
      <c r="J24" s="11"/>
      <c r="K24" s="11"/>
      <c r="L24" s="11"/>
      <c r="M24" s="32"/>
      <c r="N24" s="9"/>
      <c r="O24" s="9"/>
      <c r="P24" s="33"/>
      <c r="Q24" s="33"/>
      <c r="R24" s="33"/>
      <c r="S24" s="33"/>
      <c r="T24" s="33"/>
      <c r="U24" s="33"/>
      <c r="V24" s="33"/>
      <c r="W24" s="33"/>
      <c r="X24" s="58"/>
      <c r="Y24" s="33"/>
      <c r="Z24" s="33"/>
      <c r="AA24" s="49"/>
      <c r="AB24" s="189"/>
      <c r="AC24" s="189"/>
      <c r="AD24" s="189"/>
      <c r="AE24" s="189"/>
      <c r="AF24" s="189"/>
      <c r="AG24" s="189"/>
      <c r="AH24" s="189"/>
      <c r="AI24" s="189"/>
      <c r="AJ24" s="189"/>
      <c r="AK24" s="26"/>
      <c r="AL24" s="26"/>
      <c r="AM24" s="50"/>
      <c r="AN24" s="33"/>
      <c r="AO24" s="33"/>
      <c r="AP24" s="33"/>
      <c r="AQ24" s="78"/>
      <c r="AR24" s="78"/>
      <c r="AS24" s="78"/>
      <c r="AT24" s="78"/>
      <c r="AU24" s="78"/>
      <c r="AV24" s="78"/>
      <c r="AW24" s="78"/>
      <c r="AX24" s="198"/>
      <c r="AY24" s="198"/>
      <c r="AZ24" s="198"/>
      <c r="BA24" s="198"/>
      <c r="BB24" s="120"/>
      <c r="BC24" s="120"/>
      <c r="BD24" s="120"/>
      <c r="BE24" s="120"/>
      <c r="BF24" s="120"/>
      <c r="BG24" s="120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7"/>
      <c r="BX24" s="108"/>
      <c r="BY24" s="97"/>
      <c r="BZ24" s="97"/>
      <c r="CA24" s="97"/>
      <c r="CB24" s="97"/>
      <c r="CC24" s="97"/>
      <c r="CD24" s="97"/>
      <c r="CE24" s="97"/>
      <c r="CF24" s="97"/>
      <c r="CG24" s="97"/>
      <c r="CH24" s="97"/>
      <c r="CI24" s="97"/>
      <c r="CJ24" s="97"/>
      <c r="CK24" s="113"/>
      <c r="CL24" s="113"/>
      <c r="CM24" s="113"/>
      <c r="CN24" s="113"/>
      <c r="CO24" s="120"/>
      <c r="CP24" s="120"/>
      <c r="CQ24" s="120"/>
      <c r="CR24" s="120"/>
      <c r="CS24" s="120"/>
      <c r="CT24" s="120"/>
      <c r="CU24" s="120"/>
      <c r="CV24" s="120"/>
      <c r="CW24" s="120"/>
      <c r="CX24" s="120"/>
      <c r="CY24" s="120"/>
      <c r="CZ24" s="120"/>
      <c r="DA24" s="120"/>
      <c r="DB24" s="120"/>
      <c r="DC24" s="120"/>
      <c r="DD24" s="120"/>
      <c r="DE24" s="113"/>
    </row>
    <row r="25" ht="35.25" customHeight="1">
      <c r="A25" s="338"/>
      <c r="B25" s="16"/>
      <c r="C25" s="194" t="s">
        <v>208</v>
      </c>
      <c r="D25" s="201" t="s">
        <v>209</v>
      </c>
      <c r="E25" s="10"/>
      <c r="F25" s="11"/>
      <c r="G25" s="11"/>
      <c r="H25" s="11"/>
      <c r="I25" s="11"/>
      <c r="J25" s="11"/>
      <c r="K25" s="11"/>
      <c r="L25" s="11"/>
      <c r="M25" s="82"/>
      <c r="N25" s="82"/>
      <c r="O25" s="82"/>
      <c r="P25" s="81"/>
      <c r="Q25" s="82"/>
      <c r="R25" s="82"/>
      <c r="S25" s="82"/>
      <c r="T25" s="82"/>
      <c r="U25" s="71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11"/>
      <c r="AG25" s="11"/>
      <c r="AH25" s="11"/>
      <c r="AI25" s="11"/>
      <c r="AJ25" s="11"/>
      <c r="AK25" s="11"/>
      <c r="AL25" s="11"/>
      <c r="AM25" s="32"/>
      <c r="AN25" s="33"/>
      <c r="AO25" s="33"/>
      <c r="AP25" s="33"/>
      <c r="AQ25" s="33"/>
      <c r="AR25" s="33"/>
      <c r="AS25" s="286"/>
      <c r="AT25" s="286"/>
      <c r="AU25" s="286"/>
      <c r="AV25" s="286"/>
      <c r="AW25" s="286"/>
      <c r="AX25" s="340"/>
      <c r="AY25" s="340"/>
      <c r="AZ25" s="340"/>
      <c r="BA25" s="340"/>
      <c r="BB25" s="340"/>
      <c r="BC25" s="90"/>
      <c r="BD25" s="90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08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20"/>
      <c r="CP25" s="120"/>
      <c r="CQ25" s="120"/>
      <c r="CR25" s="120"/>
      <c r="CS25" s="120"/>
      <c r="CT25" s="120"/>
      <c r="CU25" s="120"/>
      <c r="CV25" s="120"/>
      <c r="CW25" s="120"/>
      <c r="CX25" s="120"/>
      <c r="CY25" s="120"/>
      <c r="CZ25" s="120"/>
      <c r="DA25" s="120"/>
      <c r="DB25" s="120"/>
      <c r="DC25" s="120"/>
      <c r="DD25" s="120"/>
      <c r="DE25" s="113"/>
      <c r="DF25" s="116"/>
    </row>
    <row r="26" ht="35.25" customHeight="1">
      <c r="B26" s="16"/>
      <c r="C26" s="195" t="s">
        <v>210</v>
      </c>
      <c r="D26" s="201" t="s">
        <v>184</v>
      </c>
      <c r="E26" s="10"/>
      <c r="F26" s="11"/>
      <c r="G26" s="11"/>
      <c r="H26" s="11"/>
      <c r="I26" s="11"/>
      <c r="J26" s="11"/>
      <c r="K26" s="11"/>
      <c r="L26" s="11"/>
      <c r="M26" s="82"/>
      <c r="N26" s="82"/>
      <c r="O26" s="82"/>
      <c r="P26" s="81"/>
      <c r="Q26" s="82"/>
      <c r="R26" s="82"/>
      <c r="S26" s="82"/>
      <c r="T26" s="82"/>
      <c r="U26" s="71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11"/>
      <c r="AG26" s="11"/>
      <c r="AH26" s="11"/>
      <c r="AI26" s="11"/>
      <c r="AJ26" s="11"/>
      <c r="AK26" s="11"/>
      <c r="AL26" s="11"/>
      <c r="AM26" s="32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90"/>
      <c r="BB26" s="90"/>
      <c r="BC26" s="90"/>
      <c r="BD26" s="90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08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20"/>
      <c r="CP26" s="120"/>
      <c r="CQ26" s="120"/>
      <c r="CR26" s="120"/>
      <c r="CS26" s="120"/>
      <c r="CT26" s="120"/>
      <c r="CU26" s="120"/>
      <c r="CV26" s="120"/>
      <c r="CW26" s="120"/>
      <c r="CX26" s="120"/>
      <c r="CY26" s="120"/>
      <c r="CZ26" s="120"/>
      <c r="DA26" s="120"/>
      <c r="DB26" s="120"/>
      <c r="DC26" s="120"/>
      <c r="DD26" s="120"/>
      <c r="DE26" s="113"/>
      <c r="DF26" s="116"/>
    </row>
    <row r="27" ht="35.25" customHeight="1">
      <c r="B27" s="16"/>
      <c r="C27" s="195" t="s">
        <v>211</v>
      </c>
      <c r="D27" s="201" t="s">
        <v>184</v>
      </c>
      <c r="E27" s="10"/>
      <c r="F27" s="11"/>
      <c r="G27" s="11"/>
      <c r="H27" s="11"/>
      <c r="I27" s="11"/>
      <c r="J27" s="11"/>
      <c r="K27" s="11"/>
      <c r="L27" s="11"/>
      <c r="M27" s="82"/>
      <c r="N27" s="82"/>
      <c r="O27" s="82"/>
      <c r="P27" s="81"/>
      <c r="Q27" s="82"/>
      <c r="R27" s="82"/>
      <c r="S27" s="82"/>
      <c r="T27" s="82"/>
      <c r="U27" s="71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11"/>
      <c r="AG27" s="11"/>
      <c r="AH27" s="11"/>
      <c r="AI27" s="11"/>
      <c r="AJ27" s="11"/>
      <c r="AK27" s="11"/>
      <c r="AL27" s="11"/>
      <c r="AM27" s="32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90"/>
      <c r="BB27" s="90"/>
      <c r="BC27" s="90"/>
      <c r="BD27" s="90"/>
      <c r="BE27" s="113"/>
      <c r="BF27" s="113"/>
      <c r="BG27" s="113"/>
      <c r="BH27" s="113"/>
      <c r="BI27" s="113"/>
      <c r="BJ27" s="113"/>
      <c r="BK27" s="113"/>
      <c r="BL27" s="113"/>
      <c r="BM27" s="113"/>
      <c r="BN27" s="113"/>
      <c r="BO27" s="113"/>
      <c r="BP27" s="113"/>
      <c r="BQ27" s="113"/>
      <c r="BR27" s="113"/>
      <c r="BS27" s="113"/>
      <c r="BT27" s="113"/>
      <c r="BU27" s="113"/>
      <c r="BV27" s="113"/>
      <c r="BW27" s="113"/>
      <c r="BX27" s="108"/>
      <c r="BY27" s="113"/>
      <c r="BZ27" s="113"/>
      <c r="CA27" s="113"/>
      <c r="CB27" s="113"/>
      <c r="CC27" s="113"/>
      <c r="CD27" s="113"/>
      <c r="CE27" s="113"/>
      <c r="CF27" s="113"/>
      <c r="CG27" s="113"/>
      <c r="CH27" s="113"/>
      <c r="CI27" s="113"/>
      <c r="CJ27" s="113"/>
      <c r="CK27" s="113"/>
      <c r="CL27" s="113"/>
      <c r="CM27" s="113"/>
      <c r="CN27" s="113"/>
      <c r="CO27" s="120"/>
      <c r="CP27" s="120"/>
      <c r="CQ27" s="120"/>
      <c r="CR27" s="120"/>
      <c r="CS27" s="120"/>
      <c r="CT27" s="120"/>
      <c r="CU27" s="120"/>
      <c r="CV27" s="120"/>
      <c r="CW27" s="120"/>
      <c r="CX27" s="120"/>
      <c r="CY27" s="120"/>
      <c r="CZ27" s="120"/>
      <c r="DA27" s="120"/>
      <c r="DB27" s="120"/>
      <c r="DC27" s="120"/>
      <c r="DD27" s="120"/>
      <c r="DE27" s="113"/>
      <c r="DF27" s="116"/>
    </row>
    <row r="28" ht="35.25" customHeight="1">
      <c r="B28" s="16"/>
      <c r="C28" s="195" t="s">
        <v>212</v>
      </c>
      <c r="D28" s="201" t="s">
        <v>184</v>
      </c>
      <c r="E28" s="10"/>
      <c r="F28" s="11"/>
      <c r="G28" s="11"/>
      <c r="H28" s="11"/>
      <c r="I28" s="11"/>
      <c r="J28" s="11"/>
      <c r="K28" s="11"/>
      <c r="L28" s="11"/>
      <c r="M28" s="82"/>
      <c r="N28" s="82"/>
      <c r="O28" s="82"/>
      <c r="P28" s="81"/>
      <c r="Q28" s="82"/>
      <c r="R28" s="82"/>
      <c r="S28" s="82"/>
      <c r="T28" s="82"/>
      <c r="U28" s="71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11"/>
      <c r="AG28" s="11"/>
      <c r="AH28" s="11"/>
      <c r="AI28" s="11"/>
      <c r="AJ28" s="11"/>
      <c r="AK28" s="11"/>
      <c r="AL28" s="11"/>
      <c r="AM28" s="32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90"/>
      <c r="BB28" s="90"/>
      <c r="BC28" s="90"/>
      <c r="BD28" s="90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/>
      <c r="BP28" s="113"/>
      <c r="BQ28" s="113"/>
      <c r="BR28" s="113"/>
      <c r="BS28" s="113"/>
      <c r="BT28" s="113"/>
      <c r="BU28" s="113"/>
      <c r="BV28" s="113"/>
      <c r="BW28" s="113"/>
      <c r="BX28" s="108"/>
      <c r="BY28" s="113"/>
      <c r="BZ28" s="113"/>
      <c r="CA28" s="113"/>
      <c r="CB28" s="113"/>
      <c r="CC28" s="113"/>
      <c r="CD28" s="113"/>
      <c r="CE28" s="113"/>
      <c r="CF28" s="113"/>
      <c r="CG28" s="113"/>
      <c r="CH28" s="113"/>
      <c r="CI28" s="113"/>
      <c r="CJ28" s="113"/>
      <c r="CK28" s="113"/>
      <c r="CL28" s="113"/>
      <c r="CM28" s="113"/>
      <c r="CN28" s="113"/>
      <c r="CO28" s="120"/>
      <c r="CP28" s="120"/>
      <c r="CQ28" s="120"/>
      <c r="CR28" s="120"/>
      <c r="CS28" s="120"/>
      <c r="CT28" s="120"/>
      <c r="CU28" s="120"/>
      <c r="CV28" s="120"/>
      <c r="CW28" s="120"/>
      <c r="CX28" s="120"/>
      <c r="CY28" s="120"/>
      <c r="CZ28" s="120"/>
      <c r="DA28" s="120"/>
      <c r="DB28" s="120"/>
      <c r="DC28" s="120"/>
      <c r="DD28" s="120"/>
      <c r="DE28" s="113"/>
      <c r="DF28" s="116"/>
    </row>
    <row r="29" ht="35.25" customHeight="1">
      <c r="B29" s="16"/>
      <c r="C29" s="195" t="s">
        <v>213</v>
      </c>
      <c r="D29" s="201" t="s">
        <v>184</v>
      </c>
      <c r="E29" s="10"/>
      <c r="F29" s="11"/>
      <c r="G29" s="11"/>
      <c r="H29" s="11"/>
      <c r="I29" s="11"/>
      <c r="J29" s="11"/>
      <c r="K29" s="11"/>
      <c r="L29" s="11"/>
      <c r="M29" s="82"/>
      <c r="N29" s="82"/>
      <c r="O29" s="82"/>
      <c r="P29" s="81"/>
      <c r="Q29" s="82"/>
      <c r="R29" s="82"/>
      <c r="S29" s="82"/>
      <c r="T29" s="82"/>
      <c r="U29" s="71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11"/>
      <c r="AG29" s="11"/>
      <c r="AH29" s="11"/>
      <c r="AI29" s="11"/>
      <c r="AJ29" s="11"/>
      <c r="AK29" s="11"/>
      <c r="AL29" s="11"/>
      <c r="AM29" s="32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90"/>
      <c r="BB29" s="90"/>
      <c r="BC29" s="90"/>
      <c r="BD29" s="90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3"/>
      <c r="BQ29" s="113"/>
      <c r="BR29" s="113"/>
      <c r="BS29" s="113"/>
      <c r="BT29" s="113"/>
      <c r="BU29" s="113"/>
      <c r="BV29" s="113"/>
      <c r="BW29" s="113"/>
      <c r="BX29" s="108"/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  <c r="CK29" s="113"/>
      <c r="CL29" s="113"/>
      <c r="CM29" s="113"/>
      <c r="CN29" s="113"/>
      <c r="CO29" s="120"/>
      <c r="CP29" s="120"/>
      <c r="CQ29" s="120"/>
      <c r="CR29" s="120"/>
      <c r="CS29" s="120"/>
      <c r="CT29" s="120"/>
      <c r="CU29" s="120"/>
      <c r="CV29" s="120"/>
      <c r="CW29" s="120"/>
      <c r="CX29" s="120"/>
      <c r="CY29" s="120"/>
      <c r="CZ29" s="120"/>
      <c r="DA29" s="120"/>
      <c r="DB29" s="120"/>
      <c r="DC29" s="120"/>
      <c r="DD29" s="120"/>
      <c r="DE29" s="113"/>
      <c r="DF29" s="116"/>
    </row>
    <row r="30" ht="33" customHeight="1">
      <c r="B30" s="16"/>
      <c r="C30" s="195" t="s">
        <v>214</v>
      </c>
      <c r="D30" s="201" t="s">
        <v>184</v>
      </c>
      <c r="E30" s="10"/>
      <c r="F30" s="11"/>
      <c r="G30" s="11"/>
      <c r="H30" s="11"/>
      <c r="I30" s="11"/>
      <c r="J30" s="11"/>
      <c r="K30" s="11"/>
      <c r="L30" s="11"/>
      <c r="M30" s="82"/>
      <c r="N30" s="82"/>
      <c r="O30" s="82"/>
      <c r="P30" s="81"/>
      <c r="Q30" s="82"/>
      <c r="R30" s="82"/>
      <c r="S30" s="82"/>
      <c r="T30" s="82"/>
      <c r="U30" s="71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11"/>
      <c r="AG30" s="11"/>
      <c r="AH30" s="11"/>
      <c r="AI30" s="11"/>
      <c r="AJ30" s="11"/>
      <c r="AK30" s="11"/>
      <c r="AL30" s="11"/>
      <c r="AM30" s="32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90"/>
      <c r="BB30" s="90"/>
      <c r="BC30" s="90"/>
      <c r="BD30" s="90"/>
      <c r="BE30" s="113"/>
      <c r="BF30" s="113"/>
      <c r="BG30" s="113"/>
      <c r="BH30" s="113"/>
      <c r="BI30" s="113"/>
      <c r="BJ30" s="113"/>
      <c r="BK30" s="113"/>
      <c r="BL30" s="113"/>
      <c r="BM30" s="113"/>
      <c r="BN30" s="113"/>
      <c r="BO30" s="113"/>
      <c r="BP30" s="113"/>
      <c r="BQ30" s="113"/>
      <c r="BR30" s="113"/>
      <c r="BS30" s="113"/>
      <c r="BT30" s="113"/>
      <c r="BU30" s="113"/>
      <c r="BV30" s="113"/>
      <c r="BW30" s="113"/>
      <c r="BX30" s="108"/>
      <c r="BY30" s="113"/>
      <c r="BZ30" s="113"/>
      <c r="CA30" s="113"/>
      <c r="CB30" s="113"/>
      <c r="CC30" s="113"/>
      <c r="CD30" s="113"/>
      <c r="CE30" s="113"/>
      <c r="CF30" s="113"/>
      <c r="CG30" s="113"/>
      <c r="CH30" s="113"/>
      <c r="CI30" s="113"/>
      <c r="CJ30" s="113"/>
      <c r="CK30" s="113"/>
      <c r="CL30" s="113"/>
      <c r="CM30" s="113"/>
      <c r="CN30" s="113"/>
      <c r="CO30" s="120"/>
      <c r="CP30" s="120"/>
      <c r="CQ30" s="120"/>
      <c r="CR30" s="120"/>
      <c r="CS30" s="120"/>
      <c r="CT30" s="120"/>
      <c r="CU30" s="120"/>
      <c r="CV30" s="120"/>
      <c r="CW30" s="120"/>
      <c r="CX30" s="120"/>
      <c r="CY30" s="120"/>
      <c r="CZ30" s="120"/>
      <c r="DA30" s="120"/>
      <c r="DB30" s="120"/>
      <c r="DC30" s="120"/>
      <c r="DD30" s="120"/>
      <c r="DE30" s="113"/>
      <c r="DF30" s="116"/>
    </row>
    <row r="31" ht="66" customHeight="1">
      <c r="B31" s="16"/>
      <c r="C31" s="195" t="s">
        <v>215</v>
      </c>
      <c r="D31" s="201" t="s">
        <v>184</v>
      </c>
      <c r="E31" s="10"/>
      <c r="F31" s="11"/>
      <c r="G31" s="11"/>
      <c r="H31" s="11"/>
      <c r="I31" s="11"/>
      <c r="J31" s="11"/>
      <c r="K31" s="11"/>
      <c r="L31" s="11"/>
      <c r="M31" s="82"/>
      <c r="N31" s="82"/>
      <c r="O31" s="82"/>
      <c r="P31" s="81"/>
      <c r="Q31" s="82"/>
      <c r="R31" s="82"/>
      <c r="S31" s="82"/>
      <c r="T31" s="82"/>
      <c r="U31" s="71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11"/>
      <c r="AG31" s="11"/>
      <c r="AH31" s="11"/>
      <c r="AI31" s="11"/>
      <c r="AJ31" s="11"/>
      <c r="AK31" s="11"/>
      <c r="AL31" s="11"/>
      <c r="AM31" s="32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90"/>
      <c r="BB31" s="90"/>
      <c r="BC31" s="90"/>
      <c r="BD31" s="90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08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20"/>
      <c r="CP31" s="120"/>
      <c r="CQ31" s="120"/>
      <c r="CR31" s="120"/>
      <c r="CS31" s="120"/>
      <c r="CT31" s="120"/>
      <c r="CU31" s="120"/>
      <c r="CV31" s="120"/>
      <c r="CW31" s="120"/>
      <c r="CX31" s="120"/>
      <c r="CY31" s="120"/>
      <c r="CZ31" s="120"/>
      <c r="DA31" s="120"/>
      <c r="DB31" s="120"/>
      <c r="DC31" s="120"/>
      <c r="DD31" s="120"/>
      <c r="DE31" s="113"/>
      <c r="DF31" s="116"/>
    </row>
    <row r="32" ht="16.5" customHeight="1">
      <c r="B32" s="16"/>
      <c r="C32" s="195" t="s">
        <v>216</v>
      </c>
      <c r="D32" s="201" t="s">
        <v>184</v>
      </c>
      <c r="E32" s="10"/>
      <c r="F32" s="11"/>
      <c r="G32" s="11"/>
      <c r="H32" s="11"/>
      <c r="I32" s="11"/>
      <c r="J32" s="11"/>
      <c r="K32" s="11"/>
      <c r="L32" s="11"/>
      <c r="M32" s="82"/>
      <c r="N32" s="82"/>
      <c r="O32" s="82"/>
      <c r="P32" s="81"/>
      <c r="Q32" s="82"/>
      <c r="R32" s="82"/>
      <c r="S32" s="82"/>
      <c r="T32" s="82"/>
      <c r="U32" s="71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11"/>
      <c r="AG32" s="11"/>
      <c r="AH32" s="11"/>
      <c r="AI32" s="11"/>
      <c r="AJ32" s="11"/>
      <c r="AK32" s="11"/>
      <c r="AL32" s="11"/>
      <c r="AM32" s="32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90"/>
      <c r="BB32" s="90"/>
      <c r="BC32" s="90"/>
      <c r="BD32" s="90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08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20"/>
      <c r="CP32" s="120"/>
      <c r="CQ32" s="120"/>
      <c r="CR32" s="120"/>
      <c r="CS32" s="120"/>
      <c r="CT32" s="120"/>
      <c r="CU32" s="120"/>
      <c r="CV32" s="120"/>
      <c r="CW32" s="120"/>
      <c r="CX32" s="120"/>
      <c r="CY32" s="120"/>
      <c r="CZ32" s="120"/>
      <c r="DA32" s="120"/>
      <c r="DB32" s="120"/>
      <c r="DC32" s="120"/>
      <c r="DD32" s="120"/>
      <c r="DE32" s="113"/>
      <c r="DF32" s="116"/>
    </row>
    <row r="33" ht="35.25" customHeight="1">
      <c r="B33" s="16"/>
      <c r="C33" s="295" t="s">
        <v>217</v>
      </c>
      <c r="D33" s="201" t="s">
        <v>218</v>
      </c>
      <c r="E33" s="10"/>
      <c r="F33" s="11"/>
      <c r="G33" s="11"/>
      <c r="H33" s="11"/>
      <c r="I33" s="11"/>
      <c r="J33" s="11"/>
      <c r="K33" s="11"/>
      <c r="L33" s="11"/>
      <c r="M33" s="82"/>
      <c r="N33" s="82"/>
      <c r="O33" s="82"/>
      <c r="P33" s="81"/>
      <c r="Q33" s="82"/>
      <c r="R33" s="82"/>
      <c r="S33" s="82"/>
      <c r="T33" s="82"/>
      <c r="U33" s="71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11"/>
      <c r="AG33" s="11"/>
      <c r="AH33" s="11"/>
      <c r="AI33" s="11"/>
      <c r="AJ33" s="11"/>
      <c r="AK33" s="11"/>
      <c r="AL33" s="11"/>
      <c r="AM33" s="32"/>
      <c r="AN33" s="33"/>
      <c r="AO33" s="33"/>
      <c r="AP33" s="33"/>
      <c r="AQ33" s="33"/>
      <c r="AR33" s="33"/>
      <c r="AS33" s="33"/>
      <c r="AT33" s="33"/>
      <c r="AU33" s="286"/>
      <c r="AV33" s="286"/>
      <c r="AW33" s="286"/>
      <c r="AX33" s="286"/>
      <c r="AY33" s="286"/>
      <c r="AZ33" s="286"/>
      <c r="BA33" s="286"/>
      <c r="BB33" s="286"/>
      <c r="BC33" s="90"/>
      <c r="BD33" s="90"/>
      <c r="BE33" s="113"/>
      <c r="BF33" s="113"/>
      <c r="BG33" s="113"/>
      <c r="BH33" s="113"/>
      <c r="BI33" s="113"/>
      <c r="BJ33" s="113"/>
      <c r="BK33" s="113"/>
      <c r="BL33" s="113"/>
      <c r="BM33" s="113"/>
      <c r="BN33" s="113"/>
      <c r="BO33" s="113"/>
      <c r="BP33" s="113"/>
      <c r="BQ33" s="113"/>
      <c r="BR33" s="113"/>
      <c r="BS33" s="113"/>
      <c r="BT33" s="113"/>
      <c r="BU33" s="113"/>
      <c r="BV33" s="113"/>
      <c r="BW33" s="113"/>
      <c r="BX33" s="108"/>
      <c r="BY33" s="113"/>
      <c r="BZ33" s="113"/>
      <c r="CA33" s="113"/>
      <c r="CB33" s="113"/>
      <c r="CC33" s="113"/>
      <c r="CD33" s="113"/>
      <c r="CE33" s="113"/>
      <c r="CF33" s="113"/>
      <c r="CG33" s="113"/>
      <c r="CH33" s="113"/>
      <c r="CI33" s="113"/>
      <c r="CJ33" s="113"/>
      <c r="CK33" s="113"/>
      <c r="CL33" s="113"/>
      <c r="CM33" s="113"/>
      <c r="CN33" s="113"/>
      <c r="CO33" s="120"/>
      <c r="CP33" s="120"/>
      <c r="CQ33" s="120"/>
      <c r="CR33" s="120"/>
      <c r="CS33" s="120"/>
      <c r="CT33" s="120"/>
      <c r="CU33" s="120"/>
      <c r="CV33" s="120"/>
      <c r="CW33" s="120"/>
      <c r="CX33" s="120"/>
      <c r="CY33" s="120"/>
      <c r="CZ33" s="120"/>
      <c r="DA33" s="120"/>
      <c r="DB33" s="120"/>
      <c r="DC33" s="120"/>
      <c r="DD33" s="120"/>
      <c r="DE33" s="113"/>
      <c r="DF33" s="116"/>
    </row>
    <row r="34" ht="35.25" customHeight="1">
      <c r="B34" s="16"/>
      <c r="C34" s="195" t="s">
        <v>219</v>
      </c>
      <c r="D34" s="201" t="s">
        <v>218</v>
      </c>
      <c r="E34" s="10"/>
      <c r="F34" s="11"/>
      <c r="G34" s="11"/>
      <c r="H34" s="11"/>
      <c r="I34" s="11"/>
      <c r="J34" s="11"/>
      <c r="K34" s="11"/>
      <c r="L34" s="11"/>
      <c r="M34" s="82"/>
      <c r="N34" s="82"/>
      <c r="O34" s="82"/>
      <c r="P34" s="81"/>
      <c r="Q34" s="82"/>
      <c r="R34" s="82"/>
      <c r="S34" s="82"/>
      <c r="T34" s="82"/>
      <c r="U34" s="71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11"/>
      <c r="AG34" s="11"/>
      <c r="AH34" s="11"/>
      <c r="AI34" s="11"/>
      <c r="AJ34" s="11"/>
      <c r="AK34" s="11"/>
      <c r="AL34" s="11"/>
      <c r="AM34" s="32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286"/>
      <c r="BB34" s="286"/>
      <c r="BC34" s="286"/>
      <c r="BD34" s="286"/>
      <c r="BE34" s="113"/>
      <c r="BF34" s="113"/>
      <c r="BG34" s="113"/>
      <c r="BH34" s="113"/>
      <c r="BI34" s="113"/>
      <c r="BJ34" s="113"/>
      <c r="BK34" s="113"/>
      <c r="BL34" s="113"/>
      <c r="BM34" s="113"/>
      <c r="BN34" s="113"/>
      <c r="BO34" s="113"/>
      <c r="BP34" s="113"/>
      <c r="BQ34" s="113"/>
      <c r="BR34" s="113"/>
      <c r="BS34" s="113"/>
      <c r="BT34" s="113"/>
      <c r="BU34" s="113"/>
      <c r="BV34" s="113"/>
      <c r="BW34" s="113"/>
      <c r="BX34" s="108"/>
      <c r="BY34" s="113"/>
      <c r="BZ34" s="113"/>
      <c r="CA34" s="113"/>
      <c r="CB34" s="113"/>
      <c r="CC34" s="113"/>
      <c r="CD34" s="113"/>
      <c r="CE34" s="113"/>
      <c r="CF34" s="113"/>
      <c r="CG34" s="113"/>
      <c r="CH34" s="113"/>
      <c r="CI34" s="113"/>
      <c r="CJ34" s="113"/>
      <c r="CK34" s="113"/>
      <c r="CL34" s="113"/>
      <c r="CM34" s="113"/>
      <c r="CN34" s="113"/>
      <c r="CO34" s="120"/>
      <c r="CP34" s="120"/>
      <c r="CQ34" s="120"/>
      <c r="CR34" s="120"/>
      <c r="CS34" s="120"/>
      <c r="CT34" s="120"/>
      <c r="CU34" s="120"/>
      <c r="CV34" s="120"/>
      <c r="CW34" s="120"/>
      <c r="CX34" s="120"/>
      <c r="CY34" s="120"/>
      <c r="CZ34" s="120"/>
      <c r="DA34" s="120"/>
      <c r="DB34" s="120"/>
      <c r="DC34" s="120"/>
      <c r="DD34" s="120"/>
      <c r="DE34" s="113"/>
      <c r="DF34" s="116"/>
    </row>
    <row r="35" ht="35.25" customHeight="1">
      <c r="B35" s="16"/>
      <c r="C35" s="195" t="s">
        <v>220</v>
      </c>
      <c r="D35" s="201" t="s">
        <v>218</v>
      </c>
      <c r="E35" s="10"/>
      <c r="F35" s="11"/>
      <c r="G35" s="11"/>
      <c r="H35" s="11"/>
      <c r="I35" s="11"/>
      <c r="J35" s="11"/>
      <c r="K35" s="11"/>
      <c r="L35" s="11"/>
      <c r="M35" s="82"/>
      <c r="N35" s="82"/>
      <c r="O35" s="82"/>
      <c r="P35" s="81"/>
      <c r="Q35" s="82"/>
      <c r="R35" s="82"/>
      <c r="S35" s="82"/>
      <c r="T35" s="82"/>
      <c r="U35" s="71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11"/>
      <c r="AG35" s="11"/>
      <c r="AH35" s="11"/>
      <c r="AI35" s="11"/>
      <c r="AJ35" s="11"/>
      <c r="AK35" s="11"/>
      <c r="AL35" s="11"/>
      <c r="AM35" s="32"/>
      <c r="AN35" s="286"/>
      <c r="AO35" s="286"/>
      <c r="AP35" s="286"/>
      <c r="AQ35" s="286"/>
      <c r="AR35" s="33"/>
      <c r="AS35" s="33"/>
      <c r="AT35" s="33"/>
      <c r="AU35" s="33"/>
      <c r="AV35" s="33"/>
      <c r="AW35" s="33"/>
      <c r="AX35" s="33"/>
      <c r="AY35" s="33"/>
      <c r="AZ35" s="33"/>
      <c r="BA35" s="90"/>
      <c r="BB35" s="90"/>
      <c r="BC35" s="90"/>
      <c r="BD35" s="90"/>
      <c r="BE35" s="113"/>
      <c r="BF35" s="113"/>
      <c r="BG35" s="113"/>
      <c r="BH35" s="113"/>
      <c r="BI35" s="113"/>
      <c r="BJ35" s="113"/>
      <c r="BK35" s="113"/>
      <c r="BL35" s="113"/>
      <c r="BM35" s="113"/>
      <c r="BN35" s="113"/>
      <c r="BO35" s="113"/>
      <c r="BP35" s="113"/>
      <c r="BQ35" s="113"/>
      <c r="BR35" s="113"/>
      <c r="BS35" s="113"/>
      <c r="BT35" s="113"/>
      <c r="BU35" s="113"/>
      <c r="BV35" s="113"/>
      <c r="BW35" s="113"/>
      <c r="BX35" s="108"/>
      <c r="BY35" s="113"/>
      <c r="BZ35" s="113"/>
      <c r="CA35" s="113"/>
      <c r="CB35" s="113"/>
      <c r="CC35" s="113"/>
      <c r="CD35" s="113"/>
      <c r="CE35" s="113"/>
      <c r="CF35" s="113"/>
      <c r="CG35" s="113"/>
      <c r="CH35" s="113"/>
      <c r="CI35" s="113"/>
      <c r="CJ35" s="113"/>
      <c r="CK35" s="113"/>
      <c r="CL35" s="113"/>
      <c r="CM35" s="113"/>
      <c r="CN35" s="113"/>
      <c r="CO35" s="120"/>
      <c r="CP35" s="120"/>
      <c r="CQ35" s="120"/>
      <c r="CR35" s="120"/>
      <c r="CS35" s="120"/>
      <c r="CT35" s="120"/>
      <c r="CU35" s="120"/>
      <c r="CV35" s="120"/>
      <c r="CW35" s="120"/>
      <c r="CX35" s="120"/>
      <c r="CY35" s="120"/>
      <c r="CZ35" s="120"/>
      <c r="DA35" s="120"/>
      <c r="DB35" s="120"/>
      <c r="DC35" s="120"/>
      <c r="DD35" s="120"/>
      <c r="DE35" s="113"/>
      <c r="DF35" s="116"/>
    </row>
    <row r="36" ht="49.5" customHeight="1">
      <c r="B36" s="325" t="s">
        <v>221</v>
      </c>
      <c r="C36" s="294" t="s">
        <v>222</v>
      </c>
      <c r="D36" s="18" t="s">
        <v>223</v>
      </c>
      <c r="E36" s="14"/>
      <c r="F36" s="15"/>
      <c r="G36" s="11"/>
      <c r="H36" s="11"/>
      <c r="I36" s="11"/>
      <c r="J36" s="11"/>
      <c r="K36" s="11"/>
      <c r="L36" s="11"/>
      <c r="M36" s="32"/>
      <c r="N36" s="33"/>
      <c r="O36" s="9"/>
      <c r="P36" s="9"/>
      <c r="Q36" s="9"/>
      <c r="R36" s="33"/>
      <c r="S36" s="33"/>
      <c r="T36" s="33"/>
      <c r="U36" s="33"/>
      <c r="V36" s="33"/>
      <c r="W36" s="33"/>
      <c r="X36" s="33"/>
      <c r="Y36" s="29"/>
      <c r="Z36" s="78"/>
      <c r="AA36" s="33"/>
      <c r="AB36" s="33"/>
      <c r="AC36" s="33"/>
      <c r="AD36" s="33"/>
      <c r="AE36" s="33"/>
      <c r="AF36" s="189"/>
      <c r="AG36" s="189"/>
      <c r="AH36" s="189"/>
      <c r="AI36" s="189"/>
      <c r="AJ36" s="33"/>
      <c r="AK36" s="33"/>
      <c r="AL36" s="33"/>
      <c r="AM36" s="33"/>
      <c r="AN36" s="33"/>
      <c r="AO36" s="33"/>
      <c r="AP36" s="33"/>
      <c r="AQ36" s="198"/>
      <c r="AR36" s="198"/>
      <c r="AS36" s="198"/>
      <c r="AT36" s="199"/>
      <c r="AU36" s="33"/>
      <c r="AV36" s="289"/>
      <c r="AW36" s="33"/>
      <c r="AX36" s="33"/>
      <c r="AY36" s="33"/>
      <c r="AZ36" s="33"/>
      <c r="BA36" s="33"/>
      <c r="BB36" s="33"/>
      <c r="BC36" s="33"/>
      <c r="BD36" s="90"/>
      <c r="BE36" s="90"/>
      <c r="BF36" s="90"/>
      <c r="BG36" s="90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108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113"/>
      <c r="CL36" s="113"/>
      <c r="CM36" s="113"/>
      <c r="CN36" s="113"/>
      <c r="CO36" s="120"/>
      <c r="CP36" s="120"/>
      <c r="CQ36" s="120"/>
      <c r="CR36" s="120"/>
      <c r="CS36" s="120"/>
      <c r="CT36" s="120"/>
      <c r="CU36" s="120"/>
      <c r="CV36" s="120"/>
      <c r="CW36" s="120"/>
      <c r="CX36" s="120"/>
      <c r="CY36" s="120"/>
      <c r="CZ36" s="120"/>
      <c r="DA36" s="120"/>
      <c r="DB36" s="120"/>
      <c r="DC36" s="120"/>
      <c r="DD36" s="120"/>
      <c r="DE36" s="113"/>
    </row>
    <row r="37" ht="27" customHeight="1">
      <c r="B37" s="326"/>
      <c r="C37" s="18" t="s">
        <v>224</v>
      </c>
      <c r="D37" s="18" t="s">
        <v>223</v>
      </c>
      <c r="E37" s="14"/>
      <c r="F37" s="15"/>
      <c r="G37" s="11"/>
      <c r="H37" s="11"/>
      <c r="I37" s="11"/>
      <c r="J37" s="11"/>
      <c r="K37" s="11"/>
      <c r="L37" s="11"/>
      <c r="M37" s="32"/>
      <c r="N37" s="33"/>
      <c r="O37" s="9"/>
      <c r="P37" s="9"/>
      <c r="Q37" s="9"/>
      <c r="R37" s="33"/>
      <c r="S37" s="33"/>
      <c r="T37" s="33"/>
      <c r="U37" s="33"/>
      <c r="V37" s="33"/>
      <c r="W37" s="33"/>
      <c r="X37" s="33"/>
      <c r="Y37" s="29"/>
      <c r="Z37" s="78"/>
      <c r="AA37" s="33"/>
      <c r="AB37" s="33"/>
      <c r="AC37" s="33"/>
      <c r="AD37" s="33"/>
      <c r="AE37" s="33"/>
      <c r="AF37" s="36"/>
      <c r="AG37" s="36"/>
      <c r="AH37" s="36"/>
      <c r="AI37" s="33"/>
      <c r="AJ37" s="189"/>
      <c r="AK37" s="189"/>
      <c r="AL37" s="33"/>
      <c r="AM37" s="33"/>
      <c r="AN37" s="33"/>
      <c r="AO37" s="33"/>
      <c r="AP37" s="33"/>
      <c r="AQ37" s="33"/>
      <c r="AR37" s="33"/>
      <c r="AS37" s="33"/>
      <c r="AT37" s="33"/>
      <c r="AU37" s="198"/>
      <c r="AV37" s="198"/>
      <c r="AW37" s="33"/>
      <c r="AX37" s="33"/>
      <c r="AY37" s="33"/>
      <c r="AZ37" s="33"/>
      <c r="BA37" s="33"/>
      <c r="BB37" s="33"/>
      <c r="BC37" s="33"/>
      <c r="BD37" s="90"/>
      <c r="BE37" s="90"/>
      <c r="BF37" s="90"/>
      <c r="BG37" s="90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108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7"/>
      <c r="CJ37" s="97"/>
      <c r="CK37" s="113"/>
      <c r="CL37" s="113"/>
      <c r="CM37" s="113"/>
      <c r="CN37" s="113"/>
      <c r="CO37" s="120"/>
      <c r="CP37" s="120"/>
      <c r="CQ37" s="120"/>
      <c r="CR37" s="120"/>
      <c r="CS37" s="120"/>
      <c r="CT37" s="120"/>
      <c r="CU37" s="120"/>
      <c r="CV37" s="120"/>
      <c r="CW37" s="120"/>
      <c r="CX37" s="120"/>
      <c r="CY37" s="120"/>
      <c r="CZ37" s="120"/>
      <c r="DA37" s="120"/>
      <c r="DB37" s="120"/>
      <c r="DC37" s="120"/>
      <c r="DD37" s="120"/>
      <c r="DE37" s="113"/>
    </row>
    <row r="38" ht="27" customHeight="1">
      <c r="B38" s="326"/>
      <c r="C38" s="294" t="s">
        <v>225</v>
      </c>
      <c r="D38" s="18" t="s">
        <v>223</v>
      </c>
      <c r="E38" s="14"/>
      <c r="F38" s="15"/>
      <c r="G38" s="11"/>
      <c r="H38" s="11"/>
      <c r="I38" s="11"/>
      <c r="J38" s="11"/>
      <c r="K38" s="11"/>
      <c r="L38" s="11"/>
      <c r="M38" s="32"/>
      <c r="N38" s="33"/>
      <c r="O38" s="9"/>
      <c r="P38" s="9"/>
      <c r="Q38" s="9"/>
      <c r="R38" s="33"/>
      <c r="S38" s="33"/>
      <c r="T38" s="33"/>
      <c r="U38" s="33"/>
      <c r="V38" s="33"/>
      <c r="W38" s="33"/>
      <c r="X38" s="33"/>
      <c r="Y38" s="29"/>
      <c r="Z38" s="78"/>
      <c r="AA38" s="33"/>
      <c r="AB38" s="33"/>
      <c r="AC38" s="33"/>
      <c r="AD38" s="33"/>
      <c r="AE38" s="33"/>
      <c r="AF38" s="36"/>
      <c r="AG38" s="36"/>
      <c r="AH38" s="36"/>
      <c r="AI38" s="33"/>
      <c r="AJ38" s="33"/>
      <c r="AK38" s="33"/>
      <c r="AL38" s="189"/>
      <c r="AM38" s="189"/>
      <c r="AN38" s="33"/>
      <c r="AO38" s="33"/>
      <c r="AP38" s="33"/>
      <c r="AQ38" s="33"/>
      <c r="AR38" s="33"/>
      <c r="AS38" s="51"/>
      <c r="AT38" s="51"/>
      <c r="AU38" s="198"/>
      <c r="AV38" s="51"/>
      <c r="AW38" s="33"/>
      <c r="AX38" s="33"/>
      <c r="AY38" s="33"/>
      <c r="AZ38" s="33"/>
      <c r="BA38" s="33"/>
      <c r="BB38" s="33"/>
      <c r="BC38" s="33"/>
      <c r="BD38" s="90"/>
      <c r="BE38" s="90"/>
      <c r="BF38" s="90"/>
      <c r="BG38" s="90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108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113"/>
      <c r="CL38" s="113"/>
      <c r="CM38" s="113"/>
      <c r="CN38" s="113"/>
      <c r="CO38" s="120"/>
      <c r="CP38" s="120"/>
      <c r="CQ38" s="120"/>
      <c r="CR38" s="120"/>
      <c r="CS38" s="120"/>
      <c r="CT38" s="120"/>
      <c r="CU38" s="120"/>
      <c r="CV38" s="120"/>
      <c r="CW38" s="120"/>
      <c r="CX38" s="120"/>
      <c r="CY38" s="120"/>
      <c r="CZ38" s="120"/>
      <c r="DA38" s="120"/>
      <c r="DB38" s="120"/>
      <c r="DC38" s="120"/>
      <c r="DD38" s="120"/>
      <c r="DE38" s="113"/>
    </row>
    <row r="39" ht="66" customHeight="1">
      <c r="B39" s="326"/>
      <c r="C39" s="18" t="s">
        <v>226</v>
      </c>
      <c r="D39" s="18" t="s">
        <v>223</v>
      </c>
      <c r="E39" s="14"/>
      <c r="F39" s="15"/>
      <c r="G39" s="11"/>
      <c r="H39" s="11"/>
      <c r="I39" s="11"/>
      <c r="J39" s="11"/>
      <c r="K39" s="11"/>
      <c r="L39" s="11"/>
      <c r="M39" s="32"/>
      <c r="N39" s="33"/>
      <c r="O39" s="9"/>
      <c r="P39" s="9"/>
      <c r="Q39" s="9"/>
      <c r="R39" s="33"/>
      <c r="S39" s="9"/>
      <c r="T39" s="9"/>
      <c r="U39" s="9"/>
      <c r="V39" s="9"/>
      <c r="W39" s="9"/>
      <c r="X39" s="9"/>
      <c r="Y39" s="9"/>
      <c r="Z39" s="9"/>
      <c r="AA39" s="80"/>
      <c r="AB39" s="80"/>
      <c r="AC39" s="80"/>
      <c r="AD39" s="80"/>
      <c r="AE39" s="80"/>
      <c r="AF39" s="80"/>
      <c r="AG39" s="80"/>
      <c r="AH39" s="80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98"/>
      <c r="AV39" s="198"/>
      <c r="AW39" s="199"/>
      <c r="AX39" s="198"/>
      <c r="AY39" s="198"/>
      <c r="AZ39" s="198"/>
      <c r="BA39" s="198"/>
      <c r="BB39" s="198"/>
      <c r="BC39" s="198"/>
      <c r="BD39" s="198"/>
      <c r="BE39" s="198"/>
      <c r="BF39" s="198"/>
      <c r="BG39" s="198"/>
      <c r="BH39" s="198"/>
      <c r="BI39" s="198"/>
      <c r="BJ39" s="198"/>
      <c r="BK39" s="198"/>
      <c r="BL39" s="198"/>
      <c r="BM39" s="198"/>
      <c r="BN39" s="198"/>
      <c r="BO39" s="198"/>
      <c r="BP39" s="198"/>
      <c r="BQ39" s="198"/>
      <c r="BR39" s="33"/>
      <c r="BS39" s="33"/>
      <c r="BT39" s="90"/>
      <c r="BU39" s="90"/>
      <c r="BV39" s="90"/>
      <c r="BW39" s="90"/>
      <c r="BX39" s="108"/>
      <c r="BY39" s="97"/>
      <c r="BZ39" s="97"/>
      <c r="CA39" s="97"/>
      <c r="CB39" s="97"/>
      <c r="CC39" s="97"/>
      <c r="CD39" s="97"/>
      <c r="CE39" s="97"/>
      <c r="CF39" s="97"/>
      <c r="CG39" s="97"/>
      <c r="CH39" s="97"/>
      <c r="CI39" s="97"/>
      <c r="CJ39" s="97"/>
      <c r="CK39" s="113"/>
      <c r="CL39" s="113"/>
      <c r="CM39" s="113"/>
      <c r="CN39" s="113"/>
      <c r="CO39" s="120"/>
      <c r="CP39" s="120"/>
      <c r="CQ39" s="120"/>
      <c r="CR39" s="120"/>
      <c r="CS39" s="120"/>
      <c r="CT39" s="120"/>
      <c r="CU39" s="120"/>
      <c r="CV39" s="120"/>
      <c r="CW39" s="120"/>
      <c r="CX39" s="120"/>
      <c r="CY39" s="120"/>
      <c r="CZ39" s="120"/>
      <c r="DA39" s="120"/>
      <c r="DB39" s="120"/>
      <c r="DC39" s="120"/>
      <c r="DD39" s="120"/>
      <c r="DE39" s="113"/>
    </row>
    <row r="40" ht="30.599999999999998" customHeight="1">
      <c r="B40" s="326"/>
      <c r="C40" s="18" t="s">
        <v>227</v>
      </c>
      <c r="D40" s="287" t="s">
        <v>228</v>
      </c>
      <c r="E40" s="20"/>
      <c r="F40" s="21"/>
      <c r="G40" s="21"/>
      <c r="H40" s="21"/>
      <c r="I40" s="21"/>
      <c r="J40" s="21"/>
      <c r="K40" s="21"/>
      <c r="L40" s="21"/>
      <c r="M40" s="38"/>
      <c r="N40" s="39"/>
      <c r="O40" s="9"/>
      <c r="P40" s="9"/>
      <c r="Q40" s="9"/>
      <c r="R40" s="33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1"/>
      <c r="AX40" s="198"/>
      <c r="AY40" s="198"/>
      <c r="AZ40" s="198"/>
      <c r="BA40" s="198"/>
      <c r="BB40" s="198"/>
      <c r="BC40" s="198"/>
      <c r="BD40" s="198"/>
      <c r="BE40" s="198"/>
      <c r="BF40" s="198"/>
      <c r="BG40" s="198"/>
      <c r="BH40" s="198"/>
      <c r="BI40" s="198"/>
      <c r="BJ40" s="198"/>
      <c r="BK40" s="198"/>
      <c r="BL40" s="198"/>
      <c r="BM40" s="198"/>
      <c r="BN40" s="198"/>
      <c r="BO40" s="33"/>
      <c r="BP40" s="33"/>
      <c r="BQ40" s="33"/>
      <c r="BR40" s="33"/>
      <c r="BS40" s="33"/>
      <c r="BT40" s="90"/>
      <c r="BU40" s="90"/>
      <c r="BV40" s="90"/>
      <c r="BW40" s="90"/>
      <c r="BX40" s="108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113"/>
      <c r="CL40" s="113"/>
      <c r="CM40" s="113"/>
      <c r="CN40" s="113"/>
      <c r="CO40" s="120"/>
      <c r="CP40" s="120"/>
      <c r="CQ40" s="120"/>
      <c r="CR40" s="120"/>
      <c r="CS40" s="120"/>
      <c r="CT40" s="120"/>
      <c r="CU40" s="120"/>
      <c r="CV40" s="120"/>
      <c r="CW40" s="120"/>
      <c r="CX40" s="120"/>
      <c r="CY40" s="120"/>
      <c r="CZ40" s="120"/>
      <c r="DA40" s="120"/>
      <c r="DB40" s="120"/>
      <c r="DC40" s="120"/>
      <c r="DD40" s="120"/>
      <c r="DE40" s="113"/>
    </row>
    <row r="41" ht="33" customHeight="1">
      <c r="B41" s="326"/>
      <c r="C41" s="18" t="s">
        <v>229</v>
      </c>
      <c r="D41" s="18" t="s">
        <v>223</v>
      </c>
      <c r="E41" s="14"/>
      <c r="F41" s="15"/>
      <c r="G41" s="11"/>
      <c r="H41" s="11"/>
      <c r="I41" s="11"/>
      <c r="J41" s="11"/>
      <c r="K41" s="11"/>
      <c r="L41" s="11"/>
      <c r="M41" s="32"/>
      <c r="N41" s="33"/>
      <c r="O41" s="9"/>
      <c r="P41" s="9"/>
      <c r="Q41" s="9"/>
      <c r="R41" s="33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33"/>
      <c r="AJ41" s="33"/>
      <c r="AK41" s="33"/>
      <c r="AL41" s="33"/>
      <c r="AM41" s="33"/>
      <c r="AN41" s="10"/>
      <c r="AO41" s="11"/>
      <c r="AP41" s="11"/>
      <c r="AQ41" s="11"/>
      <c r="AR41" s="11"/>
      <c r="AS41" s="11"/>
      <c r="AT41" s="11"/>
      <c r="AU41" s="11"/>
      <c r="AV41" s="11"/>
      <c r="AW41" s="32"/>
      <c r="AX41" s="33"/>
      <c r="AY41" s="189"/>
      <c r="AZ41" s="189"/>
      <c r="BA41" s="189"/>
      <c r="BB41" s="189"/>
      <c r="BC41" s="189"/>
      <c r="BD41" s="189"/>
      <c r="BE41" s="189"/>
      <c r="BF41" s="100"/>
      <c r="BG41" s="33"/>
      <c r="BH41" s="33"/>
      <c r="BI41" s="51"/>
      <c r="BJ41" s="33"/>
      <c r="BK41" s="33"/>
      <c r="BL41" s="33"/>
      <c r="BM41" s="33"/>
      <c r="BN41" s="33"/>
      <c r="BO41" s="198"/>
      <c r="BP41" s="198"/>
      <c r="BQ41" s="198"/>
      <c r="BR41" s="198"/>
      <c r="BS41" s="198"/>
      <c r="BT41" s="198"/>
      <c r="BU41" s="198"/>
      <c r="BV41" s="90"/>
      <c r="BW41" s="90"/>
      <c r="BX41" s="108"/>
      <c r="BY41" s="97"/>
      <c r="BZ41" s="97"/>
      <c r="CA41" s="97"/>
      <c r="CB41" s="97"/>
      <c r="CC41" s="97"/>
      <c r="CD41" s="97"/>
      <c r="CE41" s="97"/>
      <c r="CF41" s="97"/>
      <c r="CG41" s="97"/>
      <c r="CH41" s="97"/>
      <c r="CI41" s="97"/>
      <c r="CJ41" s="97"/>
      <c r="CK41" s="113"/>
      <c r="CL41" s="113"/>
      <c r="CM41" s="113"/>
      <c r="CN41" s="113"/>
      <c r="CO41" s="120"/>
      <c r="CP41" s="120"/>
      <c r="CQ41" s="120"/>
      <c r="CR41" s="120"/>
      <c r="CS41" s="120"/>
      <c r="CT41" s="120"/>
      <c r="CU41" s="120"/>
      <c r="CV41" s="120"/>
      <c r="CW41" s="120"/>
      <c r="CX41" s="120"/>
      <c r="CY41" s="120"/>
      <c r="CZ41" s="120"/>
      <c r="DA41" s="120"/>
      <c r="DB41" s="120"/>
      <c r="DC41" s="120"/>
      <c r="DD41" s="120"/>
      <c r="DE41" s="113"/>
    </row>
    <row r="42" ht="30.599999999999998" customHeight="1">
      <c r="B42" s="326"/>
      <c r="C42" s="18" t="s">
        <v>230</v>
      </c>
      <c r="D42" s="18" t="s">
        <v>231</v>
      </c>
      <c r="E42" s="14"/>
      <c r="F42" s="15"/>
      <c r="G42" s="11"/>
      <c r="H42" s="11"/>
      <c r="I42" s="11"/>
      <c r="J42" s="11"/>
      <c r="K42" s="11"/>
      <c r="L42" s="11"/>
      <c r="M42" s="32"/>
      <c r="N42" s="33"/>
      <c r="O42" s="9"/>
      <c r="P42" s="9"/>
      <c r="Q42" s="9"/>
      <c r="R42" s="33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33"/>
      <c r="AJ42" s="33"/>
      <c r="AK42" s="33"/>
      <c r="AL42" s="33"/>
      <c r="AM42" s="33"/>
      <c r="AN42" s="10"/>
      <c r="AO42" s="11"/>
      <c r="AP42" s="11"/>
      <c r="AQ42" s="11"/>
      <c r="AR42" s="11"/>
      <c r="AS42" s="11"/>
      <c r="AT42" s="11"/>
      <c r="AU42" s="11"/>
      <c r="AV42" s="11"/>
      <c r="AW42" s="32"/>
      <c r="AX42" s="33"/>
      <c r="AY42" s="36"/>
      <c r="AZ42" s="36"/>
      <c r="BA42" s="36"/>
      <c r="BB42" s="36"/>
      <c r="BC42" s="36"/>
      <c r="BD42" s="36"/>
      <c r="BE42" s="189"/>
      <c r="BF42" s="189"/>
      <c r="BG42" s="189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90"/>
      <c r="BU42" s="90"/>
      <c r="BV42" s="198"/>
      <c r="BW42" s="198"/>
      <c r="BX42" s="198"/>
      <c r="BY42" s="198"/>
      <c r="BZ42" s="97"/>
      <c r="CA42" s="97"/>
      <c r="CB42" s="97"/>
      <c r="CC42" s="97"/>
      <c r="CD42" s="97"/>
      <c r="CE42" s="97"/>
      <c r="CF42" s="97"/>
      <c r="CG42" s="97"/>
      <c r="CH42" s="97"/>
      <c r="CI42" s="97"/>
      <c r="CJ42" s="97"/>
      <c r="CK42" s="113"/>
      <c r="CL42" s="113"/>
      <c r="CM42" s="113"/>
      <c r="CN42" s="113"/>
      <c r="CO42" s="120"/>
      <c r="CP42" s="120"/>
      <c r="CQ42" s="120"/>
      <c r="CR42" s="120"/>
      <c r="CS42" s="120"/>
      <c r="CT42" s="120"/>
      <c r="CU42" s="120"/>
      <c r="CV42" s="120"/>
      <c r="CW42" s="120"/>
      <c r="CX42" s="120"/>
      <c r="CY42" s="120"/>
      <c r="CZ42" s="120"/>
      <c r="DA42" s="120"/>
      <c r="DB42" s="120"/>
      <c r="DC42" s="120"/>
      <c r="DD42" s="120"/>
      <c r="DE42" s="113"/>
    </row>
    <row r="43" ht="82.5" customHeight="1">
      <c r="B43" s="326"/>
      <c r="C43" s="18" t="s">
        <v>232</v>
      </c>
      <c r="D43" s="18" t="s">
        <v>223</v>
      </c>
      <c r="E43" s="14"/>
      <c r="F43" s="15"/>
      <c r="G43" s="11"/>
      <c r="H43" s="11"/>
      <c r="I43" s="11"/>
      <c r="J43" s="11"/>
      <c r="K43" s="11"/>
      <c r="L43" s="11"/>
      <c r="M43" s="32"/>
      <c r="N43" s="33"/>
      <c r="O43" s="9"/>
      <c r="P43" s="9"/>
      <c r="Q43" s="9"/>
      <c r="R43" s="33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33"/>
      <c r="AJ43" s="33"/>
      <c r="AK43" s="33"/>
      <c r="AL43" s="33"/>
      <c r="AM43" s="33"/>
      <c r="AN43" s="10"/>
      <c r="AO43" s="11"/>
      <c r="AP43" s="11"/>
      <c r="AQ43" s="11"/>
      <c r="AR43" s="11"/>
      <c r="AS43" s="11"/>
      <c r="AT43" s="11"/>
      <c r="AU43" s="198"/>
      <c r="AV43" s="198"/>
      <c r="AW43" s="198"/>
      <c r="AX43" s="198"/>
      <c r="AY43" s="198"/>
      <c r="AZ43" s="198"/>
      <c r="BA43" s="288"/>
      <c r="BB43" s="198"/>
      <c r="BC43" s="198"/>
      <c r="BD43" s="198"/>
      <c r="BE43" s="198"/>
      <c r="BF43" s="198"/>
      <c r="BG43" s="198"/>
      <c r="BH43" s="51"/>
      <c r="BI43" s="51"/>
      <c r="BJ43" s="51"/>
      <c r="BK43" s="51"/>
      <c r="BL43" s="51"/>
      <c r="BM43" s="51"/>
      <c r="BN43" s="51"/>
      <c r="BO43" s="33"/>
      <c r="BP43" s="33"/>
      <c r="BQ43" s="198"/>
      <c r="BR43" s="198"/>
      <c r="BS43" s="198"/>
      <c r="BT43" s="198"/>
      <c r="BU43" s="198"/>
      <c r="BV43" s="198"/>
      <c r="BW43" s="198"/>
      <c r="BX43" s="198"/>
      <c r="BY43" s="198"/>
      <c r="BZ43" s="198"/>
      <c r="CA43" s="198"/>
      <c r="CB43" s="198"/>
      <c r="CC43" s="198"/>
      <c r="CD43" s="97"/>
      <c r="CE43" s="97"/>
      <c r="CF43" s="97"/>
      <c r="CG43" s="97"/>
      <c r="CH43" s="97"/>
      <c r="CI43" s="97"/>
      <c r="CJ43" s="97"/>
      <c r="CK43" s="113"/>
      <c r="CL43" s="113"/>
      <c r="CM43" s="113"/>
      <c r="CN43" s="113"/>
      <c r="CO43" s="120"/>
      <c r="CP43" s="120"/>
      <c r="CQ43" s="120"/>
      <c r="CR43" s="120"/>
      <c r="CS43" s="120"/>
      <c r="CT43" s="120"/>
      <c r="CU43" s="120"/>
      <c r="CV43" s="120"/>
      <c r="CW43" s="120"/>
      <c r="CX43" s="120"/>
      <c r="CY43" s="120"/>
      <c r="CZ43" s="120"/>
      <c r="DA43" s="120"/>
      <c r="DB43" s="120"/>
      <c r="DC43" s="120"/>
      <c r="DD43" s="120"/>
      <c r="DE43" s="113"/>
    </row>
    <row r="44" ht="33" customHeight="1">
      <c r="B44" s="326"/>
      <c r="C44" s="18" t="s">
        <v>233</v>
      </c>
      <c r="D44" s="18" t="s">
        <v>234</v>
      </c>
      <c r="E44" s="22"/>
      <c r="F44" s="23"/>
      <c r="G44" s="11"/>
      <c r="H44" s="11"/>
      <c r="I44" s="11"/>
      <c r="J44" s="11"/>
      <c r="K44" s="11"/>
      <c r="L44" s="11"/>
      <c r="M44" s="32"/>
      <c r="N44" s="33"/>
      <c r="O44" s="9"/>
      <c r="P44" s="9"/>
      <c r="Q44" s="9"/>
      <c r="R44" s="33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33"/>
      <c r="AJ44" s="33"/>
      <c r="AK44" s="33"/>
      <c r="AL44" s="33"/>
      <c r="AM44" s="33"/>
      <c r="AN44" s="10"/>
      <c r="AO44" s="11"/>
      <c r="AP44" s="11"/>
      <c r="AQ44" s="11"/>
      <c r="AR44" s="11"/>
      <c r="AS44" s="11"/>
      <c r="AT44" s="11"/>
      <c r="AU44" s="11"/>
      <c r="AV44" s="11"/>
      <c r="AW44" s="11"/>
      <c r="AX44" s="40"/>
      <c r="AY44" s="40"/>
      <c r="AZ44" s="40"/>
      <c r="BA44" s="40"/>
      <c r="BB44" s="40"/>
      <c r="BC44" s="40"/>
      <c r="BD44" s="11"/>
      <c r="BE44" s="11"/>
      <c r="BF44" s="32"/>
      <c r="BG44" s="33"/>
      <c r="BH44" s="33"/>
      <c r="BI44" s="32"/>
      <c r="BJ44" s="36"/>
      <c r="BK44" s="36"/>
      <c r="BL44" s="184"/>
      <c r="BM44" s="33"/>
      <c r="BN44" s="33"/>
      <c r="BO44" s="189"/>
      <c r="BP44" s="189"/>
      <c r="BQ44" s="33"/>
      <c r="BR44" s="33"/>
      <c r="BS44" s="33"/>
      <c r="BT44" s="90"/>
      <c r="BU44" s="90"/>
      <c r="BV44" s="90"/>
      <c r="BW44" s="90"/>
      <c r="BX44" s="108"/>
      <c r="BY44" s="97"/>
      <c r="BZ44" s="97"/>
      <c r="CA44" s="97"/>
      <c r="CB44" s="97"/>
      <c r="CC44" s="97"/>
      <c r="CD44" s="198"/>
      <c r="CE44" s="198"/>
      <c r="CF44" s="97"/>
      <c r="CG44" s="97"/>
      <c r="CH44" s="97"/>
      <c r="CI44" s="97"/>
      <c r="CJ44" s="97"/>
      <c r="CK44" s="113"/>
      <c r="CL44" s="113"/>
      <c r="CM44" s="113"/>
      <c r="CN44" s="113"/>
      <c r="CO44" s="120"/>
      <c r="CP44" s="120"/>
      <c r="CQ44" s="120"/>
      <c r="CR44" s="120"/>
      <c r="CS44" s="120"/>
      <c r="CT44" s="120"/>
      <c r="CU44" s="120"/>
      <c r="CV44" s="120"/>
      <c r="CW44" s="120"/>
      <c r="CX44" s="120"/>
      <c r="CY44" s="120"/>
      <c r="CZ44" s="120"/>
      <c r="DA44" s="120"/>
      <c r="DB44" s="120"/>
      <c r="DC44" s="120"/>
      <c r="DD44" s="120"/>
      <c r="DE44" s="113"/>
    </row>
    <row r="45" ht="30" customHeight="1">
      <c r="B45" s="332"/>
      <c r="C45" s="184" t="s">
        <v>235</v>
      </c>
      <c r="D45" s="18" t="s">
        <v>234</v>
      </c>
      <c r="E45" s="14"/>
      <c r="F45" s="15"/>
      <c r="G45" s="10"/>
      <c r="H45" s="11"/>
      <c r="I45" s="11"/>
      <c r="J45" s="11"/>
      <c r="K45" s="11"/>
      <c r="L45" s="11"/>
      <c r="M45" s="32"/>
      <c r="N45" s="33"/>
      <c r="O45" s="9"/>
      <c r="P45" s="9"/>
      <c r="Q45" s="9"/>
      <c r="R45" s="33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33"/>
      <c r="AJ45" s="33"/>
      <c r="AK45" s="33"/>
      <c r="AL45" s="33"/>
      <c r="AM45" s="33"/>
      <c r="AN45" s="10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32"/>
      <c r="BG45" s="33"/>
      <c r="BH45" s="33"/>
      <c r="BI45" s="33"/>
      <c r="BJ45" s="33"/>
      <c r="BK45" s="33"/>
      <c r="BL45" s="36"/>
      <c r="BM45" s="36"/>
      <c r="BN45" s="36"/>
      <c r="BO45" s="36"/>
      <c r="BP45" s="36"/>
      <c r="BQ45" s="189"/>
      <c r="BR45" s="189"/>
      <c r="BS45" s="189"/>
      <c r="BT45" s="189"/>
      <c r="BU45" s="189"/>
      <c r="BV45" s="189"/>
      <c r="BW45" s="189"/>
      <c r="BX45" s="189"/>
      <c r="BY45" s="189"/>
      <c r="BZ45" s="189"/>
      <c r="CA45" s="189"/>
      <c r="CB45" s="189"/>
      <c r="CC45" s="97"/>
      <c r="CD45" s="97"/>
      <c r="CE45" s="97"/>
      <c r="CF45" s="198"/>
      <c r="CG45" s="198"/>
      <c r="CH45" s="198"/>
      <c r="CI45" s="198"/>
      <c r="CJ45" s="198"/>
      <c r="CK45" s="198"/>
      <c r="CL45" s="198"/>
      <c r="CM45" s="198"/>
      <c r="CN45" s="198"/>
      <c r="CO45" s="198"/>
      <c r="CP45" s="198"/>
      <c r="CQ45" s="198"/>
      <c r="CR45" s="120"/>
      <c r="CS45" s="120"/>
      <c r="CT45" s="120"/>
      <c r="CU45" s="120"/>
      <c r="CV45" s="120"/>
      <c r="CW45" s="198"/>
      <c r="CX45" s="198"/>
      <c r="CY45" s="198"/>
      <c r="CZ45" s="120"/>
      <c r="DA45" s="120"/>
      <c r="DB45" s="120"/>
      <c r="DC45" s="120"/>
      <c r="DD45" s="120"/>
      <c r="DE45" s="113"/>
    </row>
    <row r="46" ht="30" customHeight="1">
      <c r="B46" s="327" t="s">
        <v>236</v>
      </c>
      <c r="C46" s="39" t="s">
        <v>237</v>
      </c>
      <c r="D46" s="39" t="s">
        <v>238</v>
      </c>
      <c r="E46" s="14"/>
      <c r="F46" s="15"/>
      <c r="G46" s="11"/>
      <c r="H46" s="11"/>
      <c r="I46" s="11"/>
      <c r="J46" s="11"/>
      <c r="K46" s="11"/>
      <c r="L46" s="11"/>
      <c r="M46" s="11"/>
      <c r="N46" s="40"/>
      <c r="O46" s="40"/>
      <c r="P46" s="189"/>
      <c r="Q46" s="189"/>
      <c r="R46" s="189"/>
      <c r="S46" s="40"/>
      <c r="T46" s="40"/>
      <c r="U46" s="40"/>
      <c r="V46" s="6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11"/>
      <c r="AJ46" s="11"/>
      <c r="AK46" s="11"/>
      <c r="AL46" s="11"/>
      <c r="AM46" s="32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90"/>
      <c r="BB46" s="90"/>
      <c r="BC46" s="90"/>
      <c r="BD46" s="90"/>
      <c r="BE46" s="97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7"/>
      <c r="BT46" s="97"/>
      <c r="BU46" s="97"/>
      <c r="BV46" s="97"/>
      <c r="BW46" s="97"/>
      <c r="BX46" s="108"/>
      <c r="BY46" s="97"/>
      <c r="BZ46" s="97"/>
      <c r="CA46" s="97"/>
      <c r="CB46" s="97"/>
      <c r="CC46" s="97"/>
      <c r="CD46" s="97"/>
      <c r="CE46" s="97"/>
      <c r="CF46" s="97"/>
      <c r="CG46" s="97"/>
      <c r="CH46" s="97"/>
      <c r="CI46" s="97"/>
      <c r="CJ46" s="97"/>
      <c r="CK46" s="113"/>
      <c r="CL46" s="113"/>
      <c r="CM46" s="113"/>
      <c r="CN46" s="113"/>
      <c r="CO46" s="120"/>
      <c r="CP46" s="120"/>
      <c r="CQ46" s="120"/>
      <c r="CR46" s="120"/>
      <c r="CS46" s="120"/>
      <c r="CT46" s="120"/>
      <c r="CU46" s="120"/>
      <c r="CV46" s="120"/>
      <c r="CW46" s="120"/>
      <c r="CX46" s="120"/>
      <c r="CY46" s="120"/>
      <c r="CZ46" s="120"/>
      <c r="DA46" s="120"/>
      <c r="DB46" s="120"/>
      <c r="DC46" s="120"/>
      <c r="DD46" s="120"/>
      <c r="DE46" s="113"/>
    </row>
    <row r="47" ht="30" customHeight="1">
      <c r="B47" s="328"/>
      <c r="C47" s="18" t="s">
        <v>239</v>
      </c>
      <c r="D47" s="39" t="s">
        <v>238</v>
      </c>
      <c r="E47" s="24"/>
      <c r="F47" s="25"/>
      <c r="G47" s="26"/>
      <c r="H47" s="26"/>
      <c r="I47" s="26"/>
      <c r="J47" s="26"/>
      <c r="K47" s="26"/>
      <c r="L47" s="26"/>
      <c r="M47" s="26"/>
      <c r="N47" s="26"/>
      <c r="O47" s="26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81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97"/>
      <c r="BV47" s="97"/>
      <c r="BW47" s="97"/>
      <c r="BX47" s="108"/>
      <c r="BY47" s="97"/>
      <c r="BZ47" s="97"/>
      <c r="CA47" s="97"/>
      <c r="CB47" s="97"/>
      <c r="CC47" s="97"/>
      <c r="CD47" s="97"/>
      <c r="CE47" s="97"/>
      <c r="CF47" s="97"/>
      <c r="CG47" s="97"/>
      <c r="CH47" s="97"/>
      <c r="CI47" s="97"/>
      <c r="CJ47" s="97"/>
      <c r="CK47" s="113"/>
      <c r="CL47" s="113"/>
      <c r="CM47" s="113"/>
      <c r="CN47" s="113"/>
      <c r="CO47" s="120"/>
      <c r="CP47" s="120"/>
      <c r="CQ47" s="120"/>
      <c r="CR47" s="120"/>
      <c r="CS47" s="120"/>
      <c r="CT47" s="120"/>
      <c r="CU47" s="120"/>
      <c r="CV47" s="120"/>
      <c r="CW47" s="120"/>
      <c r="CX47" s="120"/>
      <c r="CY47" s="120"/>
      <c r="CZ47" s="120"/>
      <c r="DA47" s="120"/>
      <c r="DB47" s="120"/>
      <c r="DC47" s="120"/>
      <c r="DD47" s="120"/>
      <c r="DE47" s="113"/>
    </row>
    <row r="48" ht="30" customHeight="1">
      <c r="B48" s="328"/>
      <c r="C48" s="39" t="s">
        <v>185</v>
      </c>
      <c r="D48" s="39" t="s">
        <v>238</v>
      </c>
      <c r="E48" s="9"/>
      <c r="F48" s="9"/>
      <c r="G48" s="9"/>
      <c r="H48" s="9"/>
      <c r="I48" s="9"/>
      <c r="J48" s="9"/>
      <c r="K48" s="9"/>
      <c r="L48" s="9"/>
      <c r="M48" s="189"/>
      <c r="N48" s="9"/>
      <c r="O48" s="9"/>
      <c r="P48" s="9"/>
      <c r="Q48" s="9"/>
      <c r="R48" s="9"/>
      <c r="S48" s="189"/>
      <c r="T48" s="18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7"/>
      <c r="BT48" s="97"/>
      <c r="BU48" s="97"/>
      <c r="BV48" s="97"/>
      <c r="BW48" s="97"/>
      <c r="BX48" s="108"/>
      <c r="BY48" s="97"/>
      <c r="BZ48" s="97"/>
      <c r="CA48" s="97"/>
      <c r="CB48" s="97"/>
      <c r="CC48" s="97"/>
      <c r="CD48" s="97"/>
      <c r="CE48" s="97"/>
      <c r="CF48" s="97"/>
      <c r="CG48" s="97"/>
      <c r="CH48" s="97"/>
      <c r="CI48" s="97"/>
      <c r="CJ48" s="97"/>
      <c r="CK48" s="113"/>
      <c r="CL48" s="113"/>
      <c r="CM48" s="113"/>
      <c r="CN48" s="113"/>
      <c r="CO48" s="120"/>
      <c r="CP48" s="120"/>
      <c r="CQ48" s="120"/>
      <c r="CR48" s="120"/>
      <c r="CS48" s="120"/>
      <c r="CT48" s="120"/>
      <c r="CU48" s="120"/>
      <c r="CV48" s="120"/>
      <c r="CW48" s="120"/>
      <c r="CX48" s="120"/>
      <c r="CY48" s="120"/>
      <c r="CZ48" s="120"/>
      <c r="DA48" s="120"/>
      <c r="DB48" s="120"/>
      <c r="DC48" s="120"/>
      <c r="DD48" s="120"/>
      <c r="DE48" s="113"/>
    </row>
    <row r="49" ht="30" customHeight="1">
      <c r="B49" s="328"/>
      <c r="C49" s="18" t="s">
        <v>240</v>
      </c>
      <c r="D49" s="39" t="s">
        <v>238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7"/>
      <c r="BT49" s="97"/>
      <c r="BU49" s="97"/>
      <c r="BV49" s="97"/>
      <c r="BW49" s="97"/>
      <c r="BX49" s="108"/>
      <c r="BY49" s="97"/>
      <c r="BZ49" s="97"/>
      <c r="CA49" s="97"/>
      <c r="CB49" s="97"/>
      <c r="CC49" s="97"/>
      <c r="CD49" s="97"/>
      <c r="CE49" s="97"/>
      <c r="CF49" s="97"/>
      <c r="CG49" s="97"/>
      <c r="CH49" s="97"/>
      <c r="CI49" s="97"/>
      <c r="CJ49" s="97"/>
      <c r="CK49" s="113"/>
      <c r="CL49" s="113"/>
      <c r="CM49" s="113"/>
      <c r="CN49" s="113"/>
      <c r="CO49" s="120"/>
      <c r="CP49" s="120"/>
      <c r="CQ49" s="120"/>
      <c r="CR49" s="120"/>
      <c r="CS49" s="120"/>
      <c r="CT49" s="120"/>
      <c r="CU49" s="120"/>
      <c r="CV49" s="120"/>
      <c r="CW49" s="120"/>
      <c r="CX49" s="120"/>
      <c r="CY49" s="120"/>
      <c r="CZ49" s="120"/>
      <c r="DA49" s="120"/>
      <c r="DB49" s="120"/>
      <c r="DC49" s="120"/>
      <c r="DD49" s="120"/>
      <c r="DE49" s="113"/>
    </row>
    <row r="50" ht="30" customHeight="1">
      <c r="B50" s="328"/>
      <c r="C50" s="187" t="s">
        <v>241</v>
      </c>
      <c r="D50" s="186" t="s">
        <v>238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7"/>
      <c r="BV50" s="97"/>
      <c r="BW50" s="97"/>
      <c r="BX50" s="108"/>
      <c r="BY50" s="97"/>
      <c r="BZ50" s="97"/>
      <c r="CA50" s="97"/>
      <c r="CB50" s="97"/>
      <c r="CC50" s="97"/>
      <c r="CD50" s="97"/>
      <c r="CE50" s="97"/>
      <c r="CF50" s="97"/>
      <c r="CG50" s="97"/>
      <c r="CH50" s="97"/>
      <c r="CI50" s="97"/>
      <c r="CJ50" s="97"/>
      <c r="CK50" s="113"/>
      <c r="CL50" s="113"/>
      <c r="CM50" s="113"/>
      <c r="CN50" s="113"/>
      <c r="CO50" s="120"/>
      <c r="CP50" s="120"/>
      <c r="CQ50" s="120"/>
      <c r="CR50" s="120"/>
      <c r="CS50" s="120"/>
      <c r="CT50" s="120"/>
      <c r="CU50" s="120"/>
      <c r="CV50" s="120"/>
      <c r="CW50" s="120"/>
      <c r="CX50" s="120"/>
      <c r="CY50" s="120"/>
      <c r="CZ50" s="120"/>
      <c r="DA50" s="120"/>
      <c r="DB50" s="120"/>
      <c r="DC50" s="120"/>
      <c r="DD50" s="120"/>
      <c r="DE50" s="113"/>
    </row>
    <row r="51" ht="30" customHeight="1">
      <c r="B51" s="325" t="s">
        <v>242</v>
      </c>
      <c r="C51" s="18" t="s">
        <v>243</v>
      </c>
      <c r="D51" s="39" t="s">
        <v>244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189"/>
      <c r="AK51" s="189"/>
      <c r="AL51" s="189"/>
      <c r="AM51" s="189"/>
      <c r="AN51" s="189"/>
      <c r="AO51" s="189"/>
      <c r="AP51" s="189"/>
      <c r="AQ51" s="189"/>
      <c r="AR51" s="9"/>
      <c r="AS51" s="9"/>
      <c r="AT51" s="9"/>
      <c r="AU51" s="9"/>
      <c r="AV51" s="9"/>
      <c r="AW51" s="9"/>
      <c r="AX51" s="9"/>
      <c r="AY51" s="9"/>
      <c r="AZ51" s="9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108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113"/>
      <c r="CL51" s="113"/>
      <c r="CM51" s="113"/>
      <c r="CN51" s="113"/>
      <c r="CO51" s="120"/>
      <c r="CP51" s="120"/>
      <c r="CQ51" s="120"/>
      <c r="CR51" s="120"/>
      <c r="CS51" s="120"/>
      <c r="CT51" s="120"/>
      <c r="CU51" s="120"/>
      <c r="CV51" s="120"/>
      <c r="CW51" s="120"/>
      <c r="CX51" s="120"/>
      <c r="CY51" s="120"/>
      <c r="CZ51" s="120"/>
      <c r="DA51" s="120"/>
      <c r="DB51" s="120"/>
      <c r="DC51" s="120"/>
      <c r="DD51" s="120"/>
      <c r="DE51" s="113"/>
    </row>
    <row r="52" ht="30" customHeight="1">
      <c r="B52" s="326"/>
      <c r="C52" s="39" t="s">
        <v>245</v>
      </c>
      <c r="D52" s="39" t="s">
        <v>246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  <c r="BV52" s="97"/>
      <c r="BW52" s="97"/>
      <c r="BX52" s="110"/>
      <c r="BY52" s="111"/>
      <c r="BZ52" s="97"/>
      <c r="CA52" s="97"/>
      <c r="CB52" s="97"/>
      <c r="CC52" s="189"/>
      <c r="CD52" s="189"/>
      <c r="CE52" s="97"/>
      <c r="CF52" s="97"/>
      <c r="CG52" s="97"/>
      <c r="CH52" s="97"/>
      <c r="CI52" s="97"/>
      <c r="CJ52" s="97"/>
      <c r="CK52" s="113"/>
      <c r="CL52" s="113"/>
      <c r="CM52" s="113"/>
      <c r="CN52" s="113"/>
      <c r="CO52" s="120"/>
      <c r="CP52" s="120"/>
      <c r="CQ52" s="120"/>
      <c r="CR52" s="286"/>
      <c r="CS52" s="286"/>
      <c r="CT52" s="120"/>
      <c r="CU52" s="120"/>
      <c r="CV52" s="120"/>
      <c r="CW52" s="120"/>
      <c r="CX52" s="120"/>
      <c r="CY52" s="120"/>
      <c r="CZ52" s="120"/>
      <c r="DA52" s="120"/>
      <c r="DB52" s="120"/>
      <c r="DC52" s="120"/>
      <c r="DD52" s="120"/>
      <c r="DE52" s="113"/>
    </row>
    <row r="53" ht="49.5" customHeight="1">
      <c r="B53" s="326"/>
      <c r="C53" s="18" t="s">
        <v>247</v>
      </c>
      <c r="D53" s="39" t="s">
        <v>246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189"/>
      <c r="AS53" s="189"/>
      <c r="AT53" s="9"/>
      <c r="AU53" s="9"/>
      <c r="AV53" s="9"/>
      <c r="AW53" s="9"/>
      <c r="AX53" s="9"/>
      <c r="AY53" s="9"/>
      <c r="AZ53" s="9"/>
      <c r="BA53" s="97"/>
      <c r="BB53" s="97"/>
      <c r="BC53" s="97"/>
      <c r="BD53" s="97"/>
      <c r="BE53" s="97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7"/>
      <c r="BT53" s="97"/>
      <c r="BU53" s="97"/>
      <c r="BV53" s="97"/>
      <c r="BW53" s="97"/>
      <c r="BX53" s="112"/>
      <c r="BY53" s="9"/>
      <c r="BZ53" s="113"/>
      <c r="CA53" s="113"/>
      <c r="CB53" s="113"/>
      <c r="CC53" s="113"/>
      <c r="CD53" s="113"/>
      <c r="CE53" s="189"/>
      <c r="CF53" s="189"/>
      <c r="CG53" s="189"/>
      <c r="CH53" s="189"/>
      <c r="CI53" s="189"/>
      <c r="CJ53" s="189"/>
      <c r="CK53" s="97"/>
      <c r="CL53" s="97"/>
      <c r="CM53" s="97"/>
      <c r="CN53" s="97"/>
      <c r="CO53" s="120"/>
      <c r="CP53" s="120"/>
      <c r="CQ53" s="120"/>
      <c r="CR53" s="120"/>
      <c r="CS53" s="120"/>
      <c r="CT53" s="286"/>
      <c r="CU53" s="286"/>
      <c r="CV53" s="286"/>
      <c r="CW53" s="286"/>
      <c r="CX53" s="286"/>
      <c r="CY53" s="286"/>
      <c r="CZ53" s="120"/>
      <c r="DA53" s="120"/>
      <c r="DB53" s="120"/>
      <c r="DC53" s="120"/>
      <c r="DD53" s="120"/>
      <c r="DE53" s="97"/>
    </row>
    <row r="54" ht="30" customHeight="1">
      <c r="B54" s="326"/>
      <c r="C54" s="18" t="s">
        <v>248</v>
      </c>
      <c r="D54" s="39" t="s">
        <v>238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108"/>
      <c r="BY54" s="9"/>
      <c r="BZ54" s="113"/>
      <c r="CA54" s="113"/>
      <c r="CB54" s="113"/>
      <c r="CC54" s="113"/>
      <c r="CD54" s="113"/>
      <c r="CE54" s="97"/>
      <c r="CF54" s="9"/>
      <c r="CG54" s="97"/>
      <c r="CH54" s="97"/>
      <c r="CI54" s="97"/>
      <c r="CJ54" s="97"/>
      <c r="CK54" s="189"/>
      <c r="CL54" s="189"/>
      <c r="CM54" s="189"/>
      <c r="CN54" s="97"/>
      <c r="CO54" s="120"/>
      <c r="CP54" s="120"/>
      <c r="CQ54" s="120"/>
      <c r="CR54" s="120"/>
      <c r="CS54" s="120"/>
      <c r="CT54" s="120"/>
      <c r="CU54" s="47"/>
      <c r="CV54" s="120"/>
      <c r="CW54" s="120"/>
      <c r="CX54" s="120"/>
      <c r="CY54" s="120"/>
      <c r="CZ54" s="286"/>
      <c r="DA54" s="286"/>
      <c r="DB54" s="286"/>
      <c r="DC54" s="120"/>
      <c r="DD54" s="120"/>
      <c r="DE54" s="97"/>
    </row>
    <row r="55" ht="30" customHeight="1">
      <c r="B55" s="326"/>
      <c r="C55" s="39" t="s">
        <v>249</v>
      </c>
      <c r="D55" s="39" t="s">
        <v>238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7"/>
      <c r="BB55" s="97"/>
      <c r="BC55" s="97"/>
      <c r="BD55" s="97"/>
      <c r="BE55" s="97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7"/>
      <c r="BT55" s="97"/>
      <c r="BU55" s="97"/>
      <c r="BV55" s="97"/>
      <c r="BW55" s="97"/>
      <c r="BX55" s="108"/>
      <c r="BY55" s="9"/>
      <c r="BZ55" s="113"/>
      <c r="CA55" s="113"/>
      <c r="CB55" s="113"/>
      <c r="CC55" s="113"/>
      <c r="CD55" s="113"/>
      <c r="CE55" s="97"/>
      <c r="CF55" s="9"/>
      <c r="CG55" s="97"/>
      <c r="CH55" s="97"/>
      <c r="CI55" s="97"/>
      <c r="CJ55" s="97"/>
      <c r="CK55" s="97"/>
      <c r="CL55" s="97"/>
      <c r="CM55" s="97"/>
      <c r="CN55" s="189"/>
      <c r="CO55" s="120"/>
      <c r="CP55" s="120"/>
      <c r="CQ55" s="120"/>
      <c r="CR55" s="120"/>
      <c r="CS55" s="120"/>
      <c r="CT55" s="120"/>
      <c r="CU55" s="47"/>
      <c r="CV55" s="120"/>
      <c r="CW55" s="120"/>
      <c r="CX55" s="120"/>
      <c r="CY55" s="120"/>
      <c r="CZ55" s="120"/>
      <c r="DA55" s="120"/>
      <c r="DB55" s="120"/>
      <c r="DC55" s="286"/>
      <c r="DD55" s="120"/>
      <c r="DE55" s="120"/>
    </row>
  </sheetData>
  <mergeCells count="33">
    <mergeCell ref="AG2:AJ2"/>
    <mergeCell ref="B51:B55"/>
    <mergeCell ref="I2:L2"/>
    <mergeCell ref="AW2:AZ2"/>
    <mergeCell ref="BA2:BD2"/>
    <mergeCell ref="CG2:CJ2"/>
    <mergeCell ref="E2:H2"/>
    <mergeCell ref="B46:B50"/>
    <mergeCell ref="AS2:AV2"/>
    <mergeCell ref="BU2:BX2"/>
    <mergeCell ref="Y2:AB2"/>
    <mergeCell ref="BI2:BL2"/>
    <mergeCell ref="CK2:CN2"/>
    <mergeCell ref="BM2:BP2"/>
    <mergeCell ref="CC2:CF2"/>
    <mergeCell ref="BQ2:BT2"/>
    <mergeCell ref="M2:P2"/>
    <mergeCell ref="BE2:BH2"/>
    <mergeCell ref="BY2:CB2"/>
    <mergeCell ref="C1:BT1"/>
    <mergeCell ref="CO2:CR2"/>
    <mergeCell ref="DA2:DD2"/>
    <mergeCell ref="CW2:CZ2"/>
    <mergeCell ref="U2:X2"/>
    <mergeCell ref="AK2:AN2"/>
    <mergeCell ref="Q2:T2"/>
    <mergeCell ref="AC2:AF2"/>
    <mergeCell ref="B36:B45"/>
    <mergeCell ref="B3:C3"/>
    <mergeCell ref="CS2:CV2"/>
    <mergeCell ref="AO2:AR2"/>
    <mergeCell ref="B4:B22"/>
    <mergeCell ref="B2:C2"/>
  </mergeCells>
  <phoneticPr fontId="1" type="noConversion"/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10.6640625" defaultRowHeight="30" customHeight="1"/>
  <cols>
    <col min="1" max="1" width="10.6640625" style="184"/>
    <col min="2" max="2" width="8.1650390625" customWidth="1" style="184"/>
    <col min="3" max="3" width="28.8310546875" customWidth="1" style="184"/>
    <col min="4" max="4" width="12.83203125" customWidth="1" style="184"/>
    <col min="5" max="52" width="2.4990234375" customWidth="1" style="184"/>
    <col min="53" max="93" width="2.4990234375" customWidth="1" style="119"/>
  </cols>
  <sheetData>
    <row r="1" ht="30" customHeight="1">
      <c r="C1" s="333" t="s">
        <v>250</v>
      </c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B1" s="334"/>
      <c r="AC1" s="334"/>
      <c r="AD1" s="334"/>
      <c r="AE1" s="334"/>
      <c r="AF1" s="334"/>
      <c r="AG1" s="334"/>
      <c r="AH1" s="334"/>
      <c r="AI1" s="334"/>
      <c r="AJ1" s="334"/>
      <c r="AK1" s="334"/>
      <c r="AL1" s="334"/>
      <c r="AM1" s="334"/>
      <c r="AN1" s="334"/>
      <c r="AO1" s="334"/>
      <c r="AP1" s="334"/>
      <c r="AQ1" s="334"/>
      <c r="AR1" s="334"/>
      <c r="AS1" s="334"/>
      <c r="AT1" s="334"/>
      <c r="AU1" s="334"/>
      <c r="AV1" s="334"/>
      <c r="AW1" s="334"/>
      <c r="AX1" s="334"/>
      <c r="AY1" s="334"/>
      <c r="AZ1" s="334"/>
      <c r="BA1" s="334"/>
      <c r="BB1" s="334"/>
      <c r="BC1" s="334"/>
      <c r="BD1" s="334"/>
      <c r="BE1" s="334"/>
      <c r="BF1" s="334"/>
      <c r="BG1" s="334"/>
      <c r="BH1" s="334"/>
      <c r="BI1" s="334"/>
      <c r="BJ1" s="334"/>
      <c r="BK1" s="334"/>
      <c r="BL1" s="334"/>
      <c r="BM1" s="334"/>
      <c r="BN1" s="334"/>
      <c r="BO1" s="334"/>
      <c r="BP1" s="334"/>
      <c r="BQ1" s="334"/>
      <c r="BR1" s="334"/>
      <c r="BS1" s="334"/>
      <c r="BT1" s="334"/>
      <c r="CP1" s="119" t="s">
        <v>172</v>
      </c>
    </row>
    <row r="2" ht="30" customHeight="1">
      <c r="B2" s="331" t="s">
        <v>173</v>
      </c>
      <c r="C2" s="331"/>
      <c r="D2" s="337" t="s">
        <v>174</v>
      </c>
      <c r="E2" s="336" t="n">
        <v>8</v>
      </c>
      <c r="F2" s="337"/>
      <c r="G2" s="337"/>
      <c r="H2" s="337"/>
      <c r="I2" s="336" t="n">
        <v>9</v>
      </c>
      <c r="J2" s="337"/>
      <c r="K2" s="337"/>
      <c r="L2" s="337"/>
      <c r="M2" s="336" t="n">
        <v>10</v>
      </c>
      <c r="N2" s="337"/>
      <c r="O2" s="337"/>
      <c r="P2" s="337"/>
      <c r="Q2" s="336" t="n">
        <v>11</v>
      </c>
      <c r="R2" s="337"/>
      <c r="S2" s="337"/>
      <c r="T2" s="337"/>
      <c r="U2" s="336" t="n">
        <v>12</v>
      </c>
      <c r="V2" s="337"/>
      <c r="W2" s="337"/>
      <c r="X2" s="337"/>
      <c r="Y2" s="337" t="n">
        <v>1</v>
      </c>
      <c r="Z2" s="337"/>
      <c r="AA2" s="337"/>
      <c r="AB2" s="337"/>
      <c r="AC2" s="337" t="n">
        <v>2</v>
      </c>
      <c r="AD2" s="337"/>
      <c r="AE2" s="337"/>
      <c r="AF2" s="337"/>
      <c r="AG2" s="337" t="n">
        <v>3</v>
      </c>
      <c r="AH2" s="337"/>
      <c r="AI2" s="337"/>
      <c r="AJ2" s="337"/>
      <c r="AK2" s="337" t="n">
        <v>4</v>
      </c>
      <c r="AL2" s="337"/>
      <c r="AM2" s="337"/>
      <c r="AN2" s="337"/>
      <c r="AO2" s="337" t="n">
        <v>5</v>
      </c>
      <c r="AP2" s="337"/>
      <c r="AQ2" s="337"/>
      <c r="AR2" s="337"/>
      <c r="AS2" s="337" t="n">
        <v>6</v>
      </c>
      <c r="AT2" s="337"/>
      <c r="AU2" s="337"/>
      <c r="AV2" s="337"/>
      <c r="AW2" s="337" t="n">
        <v>7</v>
      </c>
      <c r="AX2" s="337"/>
      <c r="AY2" s="337"/>
      <c r="AZ2" s="337"/>
      <c r="BA2" s="337" t="n">
        <v>8</v>
      </c>
      <c r="BB2" s="337"/>
      <c r="BC2" s="337"/>
      <c r="BD2" s="337"/>
      <c r="BE2" s="337" t="n">
        <v>9</v>
      </c>
      <c r="BF2" s="337"/>
      <c r="BG2" s="337"/>
      <c r="BH2" s="337"/>
      <c r="BI2" s="337" t="n">
        <v>10</v>
      </c>
      <c r="BJ2" s="337"/>
      <c r="BK2" s="337"/>
      <c r="BL2" s="337"/>
      <c r="BM2" s="337" t="n">
        <v>11</v>
      </c>
      <c r="BN2" s="337"/>
      <c r="BO2" s="337"/>
      <c r="BP2" s="337"/>
      <c r="BQ2" s="337" t="n">
        <v>12</v>
      </c>
      <c r="BR2" s="337"/>
      <c r="BS2" s="337"/>
      <c r="BT2" s="337"/>
      <c r="BU2" s="337" t="n">
        <v>1</v>
      </c>
      <c r="BV2" s="337"/>
      <c r="BW2" s="337"/>
      <c r="BX2" s="337"/>
      <c r="BY2" s="335" t="n">
        <v>2</v>
      </c>
      <c r="BZ2" s="335"/>
      <c r="CA2" s="335"/>
      <c r="CB2" s="335"/>
      <c r="CC2" s="335" t="n">
        <v>3</v>
      </c>
      <c r="CD2" s="335"/>
      <c r="CE2" s="335"/>
      <c r="CF2" s="335"/>
      <c r="CG2" s="335" t="n">
        <v>4</v>
      </c>
      <c r="CH2" s="335"/>
      <c r="CI2" s="335"/>
      <c r="CJ2" s="335"/>
      <c r="CK2" s="335" t="n">
        <v>5</v>
      </c>
      <c r="CL2" s="335"/>
      <c r="CM2" s="335"/>
      <c r="CN2" s="335"/>
      <c r="CO2" s="115"/>
    </row>
    <row r="3" ht="30" customHeight="1">
      <c r="B3" s="331" t="s">
        <v>175</v>
      </c>
      <c r="C3" s="331"/>
      <c r="D3" s="337" t="s">
        <v>176</v>
      </c>
      <c r="E3" s="5" t="n">
        <v>1</v>
      </c>
      <c r="F3" s="6" t="n">
        <v>2</v>
      </c>
      <c r="G3" s="6" t="n">
        <v>3</v>
      </c>
      <c r="H3" s="6" t="n">
        <v>4</v>
      </c>
      <c r="I3" s="6" t="n">
        <v>1</v>
      </c>
      <c r="J3" s="6" t="n">
        <v>2</v>
      </c>
      <c r="K3" s="6" t="n">
        <v>3</v>
      </c>
      <c r="L3" s="6" t="n">
        <v>4</v>
      </c>
      <c r="M3" s="5" t="n">
        <v>1</v>
      </c>
      <c r="N3" s="6" t="n">
        <v>2</v>
      </c>
      <c r="O3" s="6" t="n">
        <v>3</v>
      </c>
      <c r="P3" s="6" t="n">
        <v>4</v>
      </c>
      <c r="Q3" s="6" t="n">
        <v>1</v>
      </c>
      <c r="R3" s="6" t="n">
        <v>2</v>
      </c>
      <c r="S3" s="6" t="n">
        <v>3</v>
      </c>
      <c r="T3" s="6" t="n">
        <v>4</v>
      </c>
      <c r="U3" s="5" t="n">
        <v>1</v>
      </c>
      <c r="V3" s="6" t="n">
        <v>2</v>
      </c>
      <c r="W3" s="6" t="n">
        <v>3</v>
      </c>
      <c r="X3" s="6" t="n">
        <v>4</v>
      </c>
      <c r="Y3" s="6" t="n">
        <v>1</v>
      </c>
      <c r="Z3" s="6" t="n">
        <v>2</v>
      </c>
      <c r="AA3" s="6" t="n">
        <v>3</v>
      </c>
      <c r="AB3" s="6" t="n">
        <v>4</v>
      </c>
      <c r="AC3" s="5" t="n">
        <v>1</v>
      </c>
      <c r="AD3" s="6" t="n">
        <v>2</v>
      </c>
      <c r="AE3" s="6" t="n">
        <v>3</v>
      </c>
      <c r="AF3" s="6" t="n">
        <v>4</v>
      </c>
      <c r="AG3" s="6" t="n">
        <v>1</v>
      </c>
      <c r="AH3" s="6" t="n">
        <v>2</v>
      </c>
      <c r="AI3" s="6" t="n">
        <v>3</v>
      </c>
      <c r="AJ3" s="6" t="n">
        <v>4</v>
      </c>
      <c r="AK3" s="5" t="n">
        <v>1</v>
      </c>
      <c r="AL3" s="6" t="n">
        <v>2</v>
      </c>
      <c r="AM3" s="6" t="n">
        <v>3</v>
      </c>
      <c r="AN3" s="6" t="n">
        <v>4</v>
      </c>
      <c r="AO3" s="6" t="n">
        <v>1</v>
      </c>
      <c r="AP3" s="6" t="n">
        <v>2</v>
      </c>
      <c r="AQ3" s="6" t="n">
        <v>3</v>
      </c>
      <c r="AR3" s="6" t="n">
        <v>4</v>
      </c>
      <c r="AS3" s="5" t="n">
        <v>1</v>
      </c>
      <c r="AT3" s="6" t="n">
        <v>2</v>
      </c>
      <c r="AU3" s="6" t="n">
        <v>3</v>
      </c>
      <c r="AV3" s="6" t="n">
        <v>4</v>
      </c>
      <c r="AW3" s="6" t="n">
        <v>1</v>
      </c>
      <c r="AX3" s="6" t="n">
        <v>2</v>
      </c>
      <c r="AY3" s="6" t="n">
        <v>3</v>
      </c>
      <c r="AZ3" s="6" t="n">
        <v>4</v>
      </c>
      <c r="BA3" s="5" t="n">
        <v>1</v>
      </c>
      <c r="BB3" s="6" t="n">
        <v>2</v>
      </c>
      <c r="BC3" s="6" t="n">
        <v>3</v>
      </c>
      <c r="BD3" s="6" t="n">
        <v>4</v>
      </c>
      <c r="BE3" s="6" t="n">
        <v>1</v>
      </c>
      <c r="BF3" s="6" t="n">
        <v>2</v>
      </c>
      <c r="BG3" s="6" t="n">
        <v>3</v>
      </c>
      <c r="BH3" s="6" t="n">
        <v>4</v>
      </c>
      <c r="BI3" s="5" t="n">
        <v>1</v>
      </c>
      <c r="BJ3" s="6" t="n">
        <v>2</v>
      </c>
      <c r="BK3" s="6" t="n">
        <v>3</v>
      </c>
      <c r="BL3" s="6" t="n">
        <v>4</v>
      </c>
      <c r="BM3" s="6" t="n">
        <v>1</v>
      </c>
      <c r="BN3" s="6" t="n">
        <v>2</v>
      </c>
      <c r="BO3" s="6" t="n">
        <v>3</v>
      </c>
      <c r="BP3" s="6" t="n">
        <v>4</v>
      </c>
      <c r="BQ3" s="103" t="n">
        <v>1</v>
      </c>
      <c r="BR3" s="103" t="n">
        <v>2</v>
      </c>
      <c r="BS3" s="103" t="n">
        <v>3</v>
      </c>
      <c r="BT3" s="103" t="n">
        <v>4</v>
      </c>
      <c r="BU3" s="103" t="n">
        <v>1</v>
      </c>
      <c r="BV3" s="103" t="n">
        <v>2</v>
      </c>
      <c r="BW3" s="103" t="n">
        <v>3</v>
      </c>
      <c r="BX3" s="106" t="n">
        <v>4</v>
      </c>
      <c r="BY3" s="337" t="n">
        <v>1</v>
      </c>
      <c r="BZ3" s="107" t="n">
        <v>2</v>
      </c>
      <c r="CA3" s="107" t="n">
        <v>3</v>
      </c>
      <c r="CB3" s="107" t="n">
        <v>4</v>
      </c>
      <c r="CC3" s="107" t="n">
        <v>1</v>
      </c>
      <c r="CD3" s="107" t="n">
        <v>2</v>
      </c>
      <c r="CE3" s="107" t="n">
        <v>3</v>
      </c>
      <c r="CF3" s="107" t="n">
        <v>4</v>
      </c>
      <c r="CG3" s="107" t="n">
        <v>1</v>
      </c>
      <c r="CH3" s="107" t="n">
        <v>2</v>
      </c>
      <c r="CI3" s="107" t="n">
        <v>3</v>
      </c>
      <c r="CJ3" s="107" t="n">
        <v>4</v>
      </c>
      <c r="CK3" s="107" t="n">
        <v>1</v>
      </c>
      <c r="CL3" s="107" t="n">
        <v>2</v>
      </c>
      <c r="CM3" s="107" t="n">
        <v>3</v>
      </c>
      <c r="CN3" s="107" t="n">
        <v>4</v>
      </c>
      <c r="CO3" s="107" t="n">
        <v>1</v>
      </c>
    </row>
    <row r="4" ht="30" customHeight="1">
      <c r="B4" s="328" t="s">
        <v>177</v>
      </c>
      <c r="C4" s="8" t="s">
        <v>178</v>
      </c>
      <c r="D4" s="9" t="s">
        <v>179</v>
      </c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82"/>
      <c r="R4" s="82"/>
      <c r="S4" s="82"/>
      <c r="T4" s="82"/>
      <c r="U4" s="82"/>
      <c r="V4" s="82"/>
      <c r="W4" s="44"/>
      <c r="X4" s="11"/>
      <c r="Y4" s="11"/>
      <c r="Z4" s="44"/>
      <c r="AA4" s="44"/>
      <c r="AB4" s="432" t="s">
        <v>180</v>
      </c>
      <c r="AC4" s="44"/>
      <c r="AD4" s="44"/>
      <c r="AE4" s="11"/>
      <c r="AF4" s="11"/>
      <c r="AG4" s="11"/>
      <c r="AH4" s="11"/>
      <c r="AI4" s="11"/>
      <c r="AJ4" s="11"/>
      <c r="AK4" s="11"/>
      <c r="AL4" s="11"/>
      <c r="AM4" s="32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90"/>
      <c r="BB4" s="90"/>
      <c r="BC4" s="90"/>
      <c r="BD4" s="90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08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3"/>
      <c r="CP4" s="116"/>
    </row>
    <row r="5" ht="30" customHeight="1">
      <c r="B5" s="328"/>
      <c r="C5" s="12" t="s">
        <v>186</v>
      </c>
      <c r="D5" s="13" t="s">
        <v>197</v>
      </c>
      <c r="E5" s="14"/>
      <c r="F5" s="15"/>
      <c r="G5" s="11"/>
      <c r="H5" s="11"/>
      <c r="I5" s="11"/>
      <c r="J5" s="11"/>
      <c r="K5" s="11"/>
      <c r="L5" s="11"/>
      <c r="M5" s="82"/>
      <c r="N5" s="82"/>
      <c r="O5" s="30"/>
      <c r="P5" s="31"/>
      <c r="Q5" s="30"/>
      <c r="R5" s="30"/>
      <c r="S5" s="11"/>
      <c r="T5" s="11"/>
      <c r="U5" s="10"/>
      <c r="V5" s="11"/>
      <c r="W5" s="11"/>
      <c r="X5" s="21"/>
      <c r="Y5" s="21"/>
      <c r="Z5" s="67"/>
      <c r="AA5" s="67"/>
      <c r="AB5" s="21"/>
      <c r="AC5" s="11"/>
      <c r="AD5" s="67"/>
      <c r="AE5" s="21"/>
      <c r="AF5" s="11"/>
      <c r="AG5" s="11"/>
      <c r="AH5" s="11"/>
      <c r="AI5" s="11"/>
      <c r="AJ5" s="11"/>
      <c r="AK5" s="11"/>
      <c r="AL5" s="11"/>
      <c r="AM5" s="32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90"/>
      <c r="BB5" s="90"/>
      <c r="BC5" s="90"/>
      <c r="BD5" s="90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08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  <c r="CN5" s="113"/>
      <c r="CO5" s="113"/>
    </row>
    <row r="6" ht="30" customHeight="1">
      <c r="B6" s="328"/>
      <c r="C6" s="12" t="s">
        <v>188</v>
      </c>
      <c r="D6" s="13" t="s">
        <v>197</v>
      </c>
      <c r="E6" s="14"/>
      <c r="F6" s="15"/>
      <c r="G6" s="11"/>
      <c r="H6" s="11"/>
      <c r="I6" s="11"/>
      <c r="J6" s="11"/>
      <c r="K6" s="11"/>
      <c r="L6" s="32"/>
      <c r="M6" s="33"/>
      <c r="N6" s="33"/>
      <c r="O6" s="30"/>
      <c r="P6" s="31"/>
      <c r="Q6" s="30"/>
      <c r="R6" s="30"/>
      <c r="S6" s="45"/>
      <c r="T6" s="46"/>
      <c r="U6" s="46"/>
      <c r="V6" s="47"/>
      <c r="W6" s="48"/>
      <c r="X6" s="48"/>
      <c r="Y6" s="48"/>
      <c r="Z6" s="48"/>
      <c r="AA6" s="67"/>
      <c r="AB6" s="67"/>
      <c r="AC6" s="67"/>
      <c r="AD6" s="67"/>
      <c r="AE6" s="21"/>
      <c r="AF6" s="11"/>
      <c r="AG6" s="11"/>
      <c r="AH6" s="11"/>
      <c r="AI6" s="11"/>
      <c r="AJ6" s="11"/>
      <c r="AK6" s="11"/>
      <c r="AL6" s="11"/>
      <c r="AM6" s="32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90"/>
      <c r="BB6" s="90"/>
      <c r="BC6" s="90"/>
      <c r="BD6" s="90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08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</row>
    <row r="7" ht="30" customHeight="1">
      <c r="B7" s="328"/>
      <c r="C7" s="12" t="s">
        <v>195</v>
      </c>
      <c r="D7" s="13" t="s">
        <v>197</v>
      </c>
      <c r="E7" s="14"/>
      <c r="F7" s="15"/>
      <c r="G7" s="11"/>
      <c r="H7" s="11"/>
      <c r="I7" s="11"/>
      <c r="J7" s="11"/>
      <c r="K7" s="11"/>
      <c r="L7" s="11"/>
      <c r="M7" s="34"/>
      <c r="N7" s="33"/>
      <c r="O7" s="35"/>
      <c r="P7" s="35"/>
      <c r="Q7" s="35"/>
      <c r="R7" s="35"/>
      <c r="S7" s="71"/>
      <c r="T7" s="82"/>
      <c r="U7" s="71"/>
      <c r="V7" s="82"/>
      <c r="W7" s="82"/>
      <c r="X7" s="11"/>
      <c r="Y7" s="11"/>
      <c r="Z7" s="11"/>
      <c r="AA7" s="68"/>
      <c r="AB7" s="67"/>
      <c r="AC7" s="67"/>
      <c r="AD7" s="67"/>
      <c r="AE7" s="11"/>
      <c r="AF7" s="11"/>
      <c r="AG7" s="11"/>
      <c r="AH7" s="11"/>
      <c r="AI7" s="11"/>
      <c r="AJ7" s="11"/>
      <c r="AK7" s="11"/>
      <c r="AL7" s="11"/>
      <c r="AM7" s="32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90"/>
      <c r="BB7" s="90"/>
      <c r="BC7" s="90"/>
      <c r="BD7" s="90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08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3"/>
    </row>
    <row r="8" ht="30" customHeight="1">
      <c r="B8" s="328"/>
      <c r="C8" s="12" t="s">
        <v>196</v>
      </c>
      <c r="D8" s="13" t="s">
        <v>197</v>
      </c>
      <c r="E8" s="14"/>
      <c r="F8" s="15"/>
      <c r="G8" s="11"/>
      <c r="H8" s="11"/>
      <c r="I8" s="11"/>
      <c r="J8" s="11"/>
      <c r="K8" s="11"/>
      <c r="L8" s="11"/>
      <c r="M8" s="32"/>
      <c r="N8" s="33"/>
      <c r="O8" s="35"/>
      <c r="P8" s="35"/>
      <c r="Q8" s="35"/>
      <c r="R8" s="35"/>
      <c r="S8" s="71"/>
      <c r="T8" s="82"/>
      <c r="U8" s="71"/>
      <c r="V8" s="82"/>
      <c r="W8" s="82"/>
      <c r="X8" s="11"/>
      <c r="Y8" s="11"/>
      <c r="Z8" s="11"/>
      <c r="AA8" s="68"/>
      <c r="AB8" s="11"/>
      <c r="AC8" s="11"/>
      <c r="AD8" s="67"/>
      <c r="AE8" s="11"/>
      <c r="AF8" s="11"/>
      <c r="AG8" s="11"/>
      <c r="AH8" s="11"/>
      <c r="AI8" s="11"/>
      <c r="AJ8" s="11"/>
      <c r="AK8" s="11"/>
      <c r="AL8" s="11"/>
      <c r="AM8" s="32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90"/>
      <c r="BB8" s="90"/>
      <c r="BC8" s="90"/>
      <c r="BD8" s="90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08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3"/>
    </row>
    <row r="9" ht="30" customHeight="1">
      <c r="B9" s="328"/>
      <c r="C9" s="12" t="s">
        <v>198</v>
      </c>
      <c r="D9" s="13" t="s">
        <v>197</v>
      </c>
      <c r="E9" s="14"/>
      <c r="F9" s="15"/>
      <c r="G9" s="11"/>
      <c r="H9" s="11"/>
      <c r="I9" s="11"/>
      <c r="J9" s="11"/>
      <c r="K9" s="11"/>
      <c r="L9" s="11"/>
      <c r="M9" s="32"/>
      <c r="N9" s="33"/>
      <c r="O9" s="39"/>
      <c r="P9" s="39"/>
      <c r="Q9" s="39"/>
      <c r="R9" s="39"/>
      <c r="S9" s="71"/>
      <c r="T9" s="82"/>
      <c r="U9" s="71"/>
      <c r="V9" s="82"/>
      <c r="W9" s="82"/>
      <c r="X9" s="82"/>
      <c r="Y9" s="11"/>
      <c r="Z9" s="68"/>
      <c r="AA9" s="68"/>
      <c r="AB9" s="11"/>
      <c r="AC9" s="67"/>
      <c r="AD9" s="67"/>
      <c r="AE9" s="11"/>
      <c r="AF9" s="11"/>
      <c r="AG9" s="11"/>
      <c r="AH9" s="11"/>
      <c r="AI9" s="11"/>
      <c r="AJ9" s="11"/>
      <c r="AK9" s="11"/>
      <c r="AL9" s="11"/>
      <c r="AM9" s="32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90"/>
      <c r="BB9" s="90"/>
      <c r="BC9" s="90"/>
      <c r="BD9" s="90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08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</row>
    <row r="10" ht="30" customHeight="1">
      <c r="B10" s="328"/>
      <c r="C10" s="12" t="s">
        <v>199</v>
      </c>
      <c r="D10" s="13" t="s">
        <v>197</v>
      </c>
      <c r="E10" s="14"/>
      <c r="F10" s="15"/>
      <c r="G10" s="11"/>
      <c r="H10" s="11"/>
      <c r="I10" s="11"/>
      <c r="J10" s="11"/>
      <c r="K10" s="11"/>
      <c r="L10" s="11"/>
      <c r="M10" s="32"/>
      <c r="N10" s="33"/>
      <c r="O10" s="39"/>
      <c r="P10" s="39"/>
      <c r="Q10" s="39"/>
      <c r="R10" s="39"/>
      <c r="S10" s="71"/>
      <c r="T10" s="50"/>
      <c r="U10" s="33"/>
      <c r="V10" s="33"/>
      <c r="W10" s="33"/>
      <c r="X10" s="51"/>
      <c r="Y10" s="11"/>
      <c r="Z10" s="68"/>
      <c r="AA10" s="68"/>
      <c r="AB10" s="68"/>
      <c r="AC10" s="11"/>
      <c r="AD10" s="67"/>
      <c r="AE10" s="11"/>
      <c r="AF10" s="11"/>
      <c r="AG10" s="11"/>
      <c r="AH10" s="11"/>
      <c r="AI10" s="11"/>
      <c r="AJ10" s="11"/>
      <c r="AK10" s="11"/>
      <c r="AL10" s="11"/>
      <c r="AM10" s="32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90"/>
      <c r="BB10" s="90"/>
      <c r="BC10" s="90"/>
      <c r="BD10" s="90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08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</row>
    <row r="11" ht="30" customHeight="1">
      <c r="B11" s="328"/>
      <c r="C11" s="12" t="s">
        <v>200</v>
      </c>
      <c r="D11" s="13" t="s">
        <v>223</v>
      </c>
      <c r="E11" s="14"/>
      <c r="F11" s="15"/>
      <c r="G11" s="11"/>
      <c r="H11" s="11"/>
      <c r="I11" s="11"/>
      <c r="J11" s="11"/>
      <c r="K11" s="11"/>
      <c r="L11" s="11"/>
      <c r="M11" s="32"/>
      <c r="N11" s="37"/>
      <c r="O11" s="37"/>
      <c r="P11" s="37"/>
      <c r="Q11" s="37"/>
      <c r="R11" s="52"/>
      <c r="S11" s="82"/>
      <c r="T11" s="82"/>
      <c r="U11" s="71"/>
      <c r="V11" s="82"/>
      <c r="W11" s="82"/>
      <c r="X11" s="11"/>
      <c r="Y11" s="11"/>
      <c r="Z11" s="11"/>
      <c r="AA11" s="69"/>
      <c r="AB11" s="6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32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90"/>
      <c r="BB11" s="90"/>
      <c r="BC11" s="90"/>
      <c r="BD11" s="90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08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13"/>
    </row>
    <row r="12" ht="30" customHeight="1">
      <c r="B12" s="330"/>
      <c r="C12" s="13" t="s">
        <v>202</v>
      </c>
      <c r="D12" s="9" t="s">
        <v>203</v>
      </c>
      <c r="E12" s="14"/>
      <c r="F12" s="15"/>
      <c r="G12" s="11"/>
      <c r="H12" s="11"/>
      <c r="I12" s="11"/>
      <c r="J12" s="11"/>
      <c r="K12" s="11"/>
      <c r="L12" s="11"/>
      <c r="M12" s="32"/>
      <c r="N12" s="9"/>
      <c r="O12" s="9"/>
      <c r="P12" s="33"/>
      <c r="Q12" s="33"/>
      <c r="R12" s="53"/>
      <c r="S12" s="82"/>
      <c r="T12" s="82"/>
      <c r="U12" s="71"/>
      <c r="V12" s="82"/>
      <c r="W12" s="82"/>
      <c r="X12" s="82"/>
      <c r="Y12" s="82"/>
      <c r="Z12" s="82"/>
      <c r="AA12" s="11"/>
      <c r="AB12" s="70"/>
      <c r="AC12" s="70"/>
      <c r="AD12" s="70"/>
      <c r="AE12" s="11"/>
      <c r="AF12" s="11"/>
      <c r="AG12" s="11"/>
      <c r="AH12" s="11"/>
      <c r="AI12" s="11"/>
      <c r="AJ12" s="11"/>
      <c r="AK12" s="11"/>
      <c r="AL12" s="11"/>
      <c r="AM12" s="81"/>
      <c r="AN12" s="87"/>
      <c r="AO12" s="87"/>
      <c r="AP12" s="87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90"/>
      <c r="BB12" s="90"/>
      <c r="BC12" s="90"/>
      <c r="BD12" s="90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08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  <c r="CN12" s="113"/>
      <c r="CO12" s="113"/>
    </row>
    <row r="13" ht="30" customHeight="1">
      <c r="B13" s="16"/>
      <c r="C13" s="17" t="s">
        <v>204</v>
      </c>
      <c r="D13" s="9" t="s">
        <v>205</v>
      </c>
      <c r="E13" s="14"/>
      <c r="F13" s="15"/>
      <c r="G13" s="11"/>
      <c r="H13" s="11"/>
      <c r="I13" s="11"/>
      <c r="J13" s="11"/>
      <c r="K13" s="11"/>
      <c r="L13" s="11"/>
      <c r="M13" s="32"/>
      <c r="N13" s="9"/>
      <c r="O13" s="9"/>
      <c r="P13" s="33"/>
      <c r="Q13" s="33"/>
      <c r="R13" s="54"/>
      <c r="S13" s="87"/>
      <c r="T13" s="87"/>
      <c r="U13" s="56"/>
      <c r="V13" s="87"/>
      <c r="W13" s="87"/>
      <c r="X13" s="57"/>
      <c r="Y13" s="87"/>
      <c r="Z13" s="87"/>
      <c r="AA13" s="71"/>
      <c r="AB13" s="72"/>
      <c r="AC13" s="73"/>
      <c r="AD13" s="73"/>
      <c r="AE13" s="73"/>
      <c r="AF13" s="73"/>
      <c r="AG13" s="73"/>
      <c r="AH13" s="73"/>
      <c r="AI13" s="73"/>
      <c r="AJ13" s="73"/>
      <c r="AK13" s="82"/>
      <c r="AL13" s="82"/>
      <c r="AM13" s="50"/>
      <c r="AN13" s="33"/>
      <c r="AO13" s="33"/>
      <c r="AP13" s="33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92"/>
      <c r="BB13" s="92"/>
      <c r="BC13" s="92"/>
      <c r="BD13" s="92"/>
      <c r="BE13" s="99"/>
      <c r="BF13" s="99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08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13"/>
    </row>
    <row r="14" ht="30" customHeight="1">
      <c r="B14" s="16"/>
      <c r="C14" s="18" t="s">
        <v>206</v>
      </c>
      <c r="D14" s="9" t="s">
        <v>251</v>
      </c>
      <c r="E14" s="14"/>
      <c r="F14" s="15"/>
      <c r="G14" s="11"/>
      <c r="H14" s="11"/>
      <c r="I14" s="11"/>
      <c r="J14" s="11"/>
      <c r="K14" s="11"/>
      <c r="L14" s="11"/>
      <c r="M14" s="32"/>
      <c r="N14" s="9"/>
      <c r="O14" s="9"/>
      <c r="P14" s="33"/>
      <c r="Q14" s="33"/>
      <c r="R14" s="33"/>
      <c r="S14" s="33"/>
      <c r="T14" s="33"/>
      <c r="U14" s="33"/>
      <c r="V14" s="33"/>
      <c r="W14" s="33"/>
      <c r="X14" s="58"/>
      <c r="Y14" s="33"/>
      <c r="Z14" s="33"/>
      <c r="AA14" s="71"/>
      <c r="AB14" s="74"/>
      <c r="AC14" s="75"/>
      <c r="AD14" s="75"/>
      <c r="AE14" s="76"/>
      <c r="AF14" s="77"/>
      <c r="AG14" s="77"/>
      <c r="AH14" s="77"/>
      <c r="AI14" s="77"/>
      <c r="AJ14" s="77"/>
      <c r="AK14" s="82"/>
      <c r="AL14" s="82"/>
      <c r="AM14" s="50"/>
      <c r="AN14" s="33"/>
      <c r="AO14" s="33"/>
      <c r="AP14" s="33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92"/>
      <c r="BB14" s="92"/>
      <c r="BC14" s="92"/>
      <c r="BD14" s="92"/>
      <c r="BE14" s="99"/>
      <c r="BF14" s="99"/>
      <c r="BG14" s="113"/>
      <c r="BH14" s="113"/>
      <c r="BI14" s="113"/>
      <c r="BJ14" s="113"/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3"/>
      <c r="BX14" s="108"/>
      <c r="BY14" s="113"/>
      <c r="BZ14" s="113"/>
      <c r="CA14" s="113"/>
      <c r="CB14" s="113"/>
      <c r="CC14" s="113"/>
      <c r="CD14" s="113"/>
      <c r="CE14" s="113"/>
      <c r="CF14" s="113"/>
      <c r="CG14" s="113"/>
      <c r="CH14" s="113"/>
      <c r="CI14" s="113"/>
      <c r="CJ14" s="113"/>
      <c r="CK14" s="113"/>
      <c r="CL14" s="113"/>
      <c r="CM14" s="113"/>
      <c r="CN14" s="113"/>
      <c r="CO14" s="113"/>
    </row>
    <row r="15" ht="27" customHeight="1">
      <c r="B15" s="325" t="s">
        <v>221</v>
      </c>
      <c r="C15" s="13" t="s">
        <v>222</v>
      </c>
      <c r="D15" s="13" t="s">
        <v>223</v>
      </c>
      <c r="E15" s="14"/>
      <c r="F15" s="15"/>
      <c r="G15" s="11"/>
      <c r="H15" s="11"/>
      <c r="I15" s="11"/>
      <c r="J15" s="11"/>
      <c r="K15" s="11"/>
      <c r="L15" s="11"/>
      <c r="M15" s="32"/>
      <c r="N15" s="33"/>
      <c r="O15" s="9"/>
      <c r="P15" s="9"/>
      <c r="Q15" s="9"/>
      <c r="R15" s="33"/>
      <c r="S15" s="33"/>
      <c r="T15" s="33"/>
      <c r="U15" s="33"/>
      <c r="V15" s="33"/>
      <c r="W15" s="33"/>
      <c r="X15" s="33"/>
      <c r="Y15" s="29"/>
      <c r="Z15" s="87"/>
      <c r="AA15" s="33"/>
      <c r="AB15" s="33"/>
      <c r="AC15" s="33"/>
      <c r="AD15" s="33"/>
      <c r="AE15" s="33"/>
      <c r="AF15" s="79"/>
      <c r="AG15" s="79"/>
      <c r="AH15" s="79"/>
      <c r="AI15" s="79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90"/>
      <c r="BE15" s="90"/>
      <c r="BF15" s="90"/>
      <c r="BG15" s="90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08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</row>
    <row r="16" ht="27" customHeight="1">
      <c r="B16" s="326"/>
      <c r="C16" s="13" t="s">
        <v>224</v>
      </c>
      <c r="D16" s="13" t="s">
        <v>223</v>
      </c>
      <c r="E16" s="14"/>
      <c r="F16" s="15"/>
      <c r="G16" s="11"/>
      <c r="H16" s="11"/>
      <c r="I16" s="11"/>
      <c r="J16" s="11"/>
      <c r="K16" s="11"/>
      <c r="L16" s="11"/>
      <c r="M16" s="32"/>
      <c r="N16" s="33"/>
      <c r="O16" s="9"/>
      <c r="P16" s="9"/>
      <c r="Q16" s="9"/>
      <c r="R16" s="33"/>
      <c r="S16" s="33"/>
      <c r="T16" s="33"/>
      <c r="U16" s="33"/>
      <c r="V16" s="33"/>
      <c r="W16" s="33"/>
      <c r="X16" s="33"/>
      <c r="Y16" s="29"/>
      <c r="Z16" s="87"/>
      <c r="AA16" s="33"/>
      <c r="AB16" s="33"/>
      <c r="AC16" s="33"/>
      <c r="AD16" s="33"/>
      <c r="AE16" s="33"/>
      <c r="AF16" s="39"/>
      <c r="AG16" s="39"/>
      <c r="AH16" s="39"/>
      <c r="AI16" s="33"/>
      <c r="AJ16" s="83"/>
      <c r="AK16" s="8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90"/>
      <c r="BE16" s="90"/>
      <c r="BF16" s="90"/>
      <c r="BG16" s="90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08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</row>
    <row r="17" ht="27" customHeight="1">
      <c r="B17" s="326"/>
      <c r="C17" s="13" t="s">
        <v>225</v>
      </c>
      <c r="D17" s="13" t="s">
        <v>223</v>
      </c>
      <c r="E17" s="14"/>
      <c r="F17" s="15"/>
      <c r="G17" s="11"/>
      <c r="H17" s="11"/>
      <c r="I17" s="11"/>
      <c r="J17" s="11"/>
      <c r="K17" s="11"/>
      <c r="L17" s="11"/>
      <c r="M17" s="32"/>
      <c r="N17" s="33"/>
      <c r="O17" s="9"/>
      <c r="P17" s="9"/>
      <c r="Q17" s="9"/>
      <c r="R17" s="33"/>
      <c r="S17" s="33"/>
      <c r="T17" s="33"/>
      <c r="U17" s="33"/>
      <c r="V17" s="33"/>
      <c r="W17" s="33"/>
      <c r="X17" s="33"/>
      <c r="Y17" s="29"/>
      <c r="Z17" s="87"/>
      <c r="AA17" s="33"/>
      <c r="AB17" s="33"/>
      <c r="AC17" s="33"/>
      <c r="AD17" s="33"/>
      <c r="AE17" s="33"/>
      <c r="AF17" s="39"/>
      <c r="AG17" s="39"/>
      <c r="AH17" s="39"/>
      <c r="AI17" s="33"/>
      <c r="AJ17" s="33"/>
      <c r="AK17" s="33"/>
      <c r="AL17" s="83"/>
      <c r="AM17" s="8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90"/>
      <c r="BE17" s="90"/>
      <c r="BF17" s="90"/>
      <c r="BG17" s="90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08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</row>
    <row r="18" ht="30" customHeight="1">
      <c r="B18" s="326"/>
      <c r="C18" s="13" t="s">
        <v>226</v>
      </c>
      <c r="D18" s="13" t="s">
        <v>223</v>
      </c>
      <c r="E18" s="14"/>
      <c r="F18" s="15"/>
      <c r="G18" s="11"/>
      <c r="H18" s="11"/>
      <c r="I18" s="11"/>
      <c r="J18" s="11"/>
      <c r="K18" s="11"/>
      <c r="L18" s="11"/>
      <c r="M18" s="32"/>
      <c r="N18" s="33"/>
      <c r="O18" s="9"/>
      <c r="P18" s="9"/>
      <c r="Q18" s="9"/>
      <c r="R18" s="33"/>
      <c r="S18" s="9"/>
      <c r="T18" s="9"/>
      <c r="U18" s="9"/>
      <c r="V18" s="9"/>
      <c r="W18" s="9"/>
      <c r="X18" s="9"/>
      <c r="Y18" s="9"/>
      <c r="Z18" s="9"/>
      <c r="AA18" s="80"/>
      <c r="AB18" s="80"/>
      <c r="AC18" s="80"/>
      <c r="AD18" s="80"/>
      <c r="AE18" s="80"/>
      <c r="AF18" s="80"/>
      <c r="AG18" s="80"/>
      <c r="AH18" s="80"/>
      <c r="AI18" s="84"/>
      <c r="AJ18" s="84"/>
      <c r="AK18" s="84"/>
      <c r="AL18" s="84"/>
      <c r="AM18" s="84"/>
      <c r="AN18" s="85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40"/>
      <c r="BB18" s="40"/>
      <c r="BC18" s="40"/>
      <c r="BD18" s="40"/>
      <c r="BE18" s="40"/>
      <c r="BF18" s="34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90"/>
      <c r="BU18" s="90"/>
      <c r="BV18" s="90"/>
      <c r="BW18" s="90"/>
      <c r="BX18" s="108"/>
      <c r="BY18" s="113"/>
      <c r="BZ18" s="113"/>
      <c r="CA18" s="113"/>
      <c r="CB18" s="113"/>
      <c r="CC18" s="113"/>
      <c r="CD18" s="113"/>
      <c r="CE18" s="113"/>
      <c r="CF18" s="113"/>
      <c r="CG18" s="113"/>
      <c r="CH18" s="113"/>
      <c r="CI18" s="113"/>
      <c r="CJ18" s="113"/>
      <c r="CK18" s="113"/>
      <c r="CL18" s="113"/>
      <c r="CM18" s="113"/>
      <c r="CN18" s="113"/>
      <c r="CO18" s="113"/>
    </row>
    <row r="19" ht="30.599999999999998" customHeight="1">
      <c r="B19" s="326"/>
      <c r="C19" s="19" t="s">
        <v>227</v>
      </c>
      <c r="D19" s="19" t="s">
        <v>252</v>
      </c>
      <c r="E19" s="20"/>
      <c r="F19" s="21"/>
      <c r="G19" s="21"/>
      <c r="H19" s="21"/>
      <c r="I19" s="21"/>
      <c r="J19" s="21"/>
      <c r="K19" s="21"/>
      <c r="L19" s="21"/>
      <c r="M19" s="102"/>
      <c r="N19" s="39"/>
      <c r="O19" s="9"/>
      <c r="P19" s="9"/>
      <c r="Q19" s="9"/>
      <c r="R19" s="33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27"/>
      <c r="AG19" s="27"/>
      <c r="AH19" s="27"/>
      <c r="AI19" s="27"/>
      <c r="AJ19" s="27"/>
      <c r="AK19" s="27"/>
      <c r="AL19" s="27"/>
      <c r="AM19" s="27"/>
      <c r="AN19" s="86"/>
      <c r="AO19" s="67"/>
      <c r="AP19" s="67"/>
      <c r="AQ19" s="67"/>
      <c r="AR19" s="67"/>
      <c r="AS19" s="67"/>
      <c r="AT19" s="67"/>
      <c r="AU19" s="67"/>
      <c r="AV19" s="67"/>
      <c r="AW19" s="11"/>
      <c r="AX19" s="82"/>
      <c r="AY19" s="93"/>
      <c r="AZ19" s="93"/>
      <c r="BA19" s="93"/>
      <c r="BB19" s="93"/>
      <c r="BC19" s="93"/>
      <c r="BD19" s="82"/>
      <c r="BE19" s="82"/>
      <c r="BF19" s="32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90"/>
      <c r="BU19" s="90"/>
      <c r="BV19" s="90"/>
      <c r="BW19" s="90"/>
      <c r="BX19" s="108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113"/>
      <c r="CJ19" s="113"/>
      <c r="CK19" s="113"/>
      <c r="CL19" s="113"/>
      <c r="CM19" s="113"/>
      <c r="CN19" s="113"/>
      <c r="CO19" s="113"/>
    </row>
    <row r="20" ht="30.599999999999998" customHeight="1">
      <c r="B20" s="326"/>
      <c r="C20" s="13" t="s">
        <v>229</v>
      </c>
      <c r="D20" s="13" t="s">
        <v>223</v>
      </c>
      <c r="E20" s="14"/>
      <c r="F20" s="15"/>
      <c r="G20" s="11"/>
      <c r="H20" s="11"/>
      <c r="I20" s="11"/>
      <c r="J20" s="11"/>
      <c r="K20" s="11"/>
      <c r="L20" s="11"/>
      <c r="M20" s="32"/>
      <c r="N20" s="33"/>
      <c r="O20" s="9"/>
      <c r="P20" s="9"/>
      <c r="Q20" s="9"/>
      <c r="R20" s="33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33"/>
      <c r="AJ20" s="33"/>
      <c r="AK20" s="33"/>
      <c r="AL20" s="33"/>
      <c r="AM20" s="33"/>
      <c r="AN20" s="10"/>
      <c r="AO20" s="11"/>
      <c r="AP20" s="11"/>
      <c r="AQ20" s="11"/>
      <c r="AR20" s="11"/>
      <c r="AS20" s="11"/>
      <c r="AT20" s="11"/>
      <c r="AU20" s="11"/>
      <c r="AV20" s="11"/>
      <c r="AW20" s="32"/>
      <c r="AX20" s="33"/>
      <c r="AY20" s="94"/>
      <c r="AZ20" s="94"/>
      <c r="BA20" s="94"/>
      <c r="BB20" s="94"/>
      <c r="BC20" s="94"/>
      <c r="BD20" s="94"/>
      <c r="BE20" s="94"/>
      <c r="BF20" s="100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90"/>
      <c r="BU20" s="90"/>
      <c r="BV20" s="90"/>
      <c r="BW20" s="90"/>
      <c r="BX20" s="108"/>
      <c r="BY20" s="113"/>
      <c r="BZ20" s="113"/>
      <c r="CA20" s="113"/>
      <c r="CB20" s="113"/>
      <c r="CC20" s="113"/>
      <c r="CD20" s="113"/>
      <c r="CE20" s="113"/>
      <c r="CF20" s="113"/>
      <c r="CG20" s="113"/>
      <c r="CH20" s="113"/>
      <c r="CI20" s="113"/>
      <c r="CJ20" s="113"/>
      <c r="CK20" s="113"/>
      <c r="CL20" s="113"/>
      <c r="CM20" s="113"/>
      <c r="CN20" s="113"/>
      <c r="CO20" s="113"/>
    </row>
    <row r="21" ht="30.599999999999998" customHeight="1">
      <c r="B21" s="326"/>
      <c r="C21" s="13" t="s">
        <v>230</v>
      </c>
      <c r="D21" s="13" t="s">
        <v>231</v>
      </c>
      <c r="E21" s="14"/>
      <c r="F21" s="15"/>
      <c r="G21" s="11"/>
      <c r="H21" s="11"/>
      <c r="I21" s="11"/>
      <c r="J21" s="11"/>
      <c r="K21" s="11"/>
      <c r="L21" s="11"/>
      <c r="M21" s="32"/>
      <c r="N21" s="33"/>
      <c r="O21" s="9"/>
      <c r="P21" s="9"/>
      <c r="Q21" s="9"/>
      <c r="R21" s="33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33"/>
      <c r="AJ21" s="33"/>
      <c r="AK21" s="33"/>
      <c r="AL21" s="33"/>
      <c r="AM21" s="33"/>
      <c r="AN21" s="10"/>
      <c r="AO21" s="11"/>
      <c r="AP21" s="11"/>
      <c r="AQ21" s="11"/>
      <c r="AR21" s="11"/>
      <c r="AS21" s="11"/>
      <c r="AT21" s="11"/>
      <c r="AU21" s="11"/>
      <c r="AV21" s="11"/>
      <c r="AW21" s="32"/>
      <c r="AX21" s="33"/>
      <c r="AY21" s="39"/>
      <c r="AZ21" s="39"/>
      <c r="BA21" s="39"/>
      <c r="BB21" s="39"/>
      <c r="BC21" s="39"/>
      <c r="BD21" s="39"/>
      <c r="BE21" s="94"/>
      <c r="BF21" s="94"/>
      <c r="BG21" s="94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90"/>
      <c r="BU21" s="90"/>
      <c r="BV21" s="90"/>
      <c r="BW21" s="90"/>
      <c r="BX21" s="108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</row>
    <row r="22" ht="30" customHeight="1">
      <c r="B22" s="326"/>
      <c r="C22" s="13" t="s">
        <v>232</v>
      </c>
      <c r="D22" s="13" t="s">
        <v>223</v>
      </c>
      <c r="E22" s="14"/>
      <c r="F22" s="15"/>
      <c r="G22" s="11"/>
      <c r="H22" s="11"/>
      <c r="I22" s="11"/>
      <c r="J22" s="11"/>
      <c r="K22" s="11"/>
      <c r="L22" s="11"/>
      <c r="M22" s="32"/>
      <c r="N22" s="33"/>
      <c r="O22" s="9"/>
      <c r="P22" s="9"/>
      <c r="Q22" s="9"/>
      <c r="R22" s="33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33"/>
      <c r="AJ22" s="33"/>
      <c r="AK22" s="33"/>
      <c r="AL22" s="33"/>
      <c r="AM22" s="33"/>
      <c r="AN22" s="10"/>
      <c r="AO22" s="11"/>
      <c r="AP22" s="11"/>
      <c r="AQ22" s="11"/>
      <c r="AR22" s="11"/>
      <c r="AS22" s="11"/>
      <c r="AT22" s="11"/>
      <c r="AU22" s="11"/>
      <c r="AV22" s="11"/>
      <c r="AW22" s="32"/>
      <c r="AX22" s="37"/>
      <c r="AY22" s="37"/>
      <c r="AZ22" s="37"/>
      <c r="BA22" s="37"/>
      <c r="BB22" s="37"/>
      <c r="BC22" s="95"/>
      <c r="BD22" s="96"/>
      <c r="BE22" s="101"/>
      <c r="BF22" s="102"/>
      <c r="BG22" s="63"/>
      <c r="BH22" s="63"/>
      <c r="BI22" s="63"/>
      <c r="BJ22" s="63"/>
      <c r="BK22" s="63"/>
      <c r="BL22" s="63"/>
      <c r="BM22" s="63"/>
      <c r="BN22" s="63"/>
      <c r="BO22" s="33"/>
      <c r="BP22" s="33"/>
      <c r="BQ22" s="33"/>
      <c r="BR22" s="33"/>
      <c r="BS22" s="33"/>
      <c r="BT22" s="90"/>
      <c r="BU22" s="90"/>
      <c r="BV22" s="90"/>
      <c r="BW22" s="90"/>
      <c r="BX22" s="108"/>
      <c r="BY22" s="113"/>
      <c r="BZ22" s="113"/>
      <c r="CA22" s="113"/>
      <c r="CB22" s="113"/>
      <c r="CC22" s="113"/>
      <c r="CD22" s="113"/>
      <c r="CE22" s="113"/>
      <c r="CF22" s="113"/>
      <c r="CG22" s="113"/>
      <c r="CH22" s="113"/>
      <c r="CI22" s="113"/>
      <c r="CJ22" s="113"/>
      <c r="CK22" s="113"/>
      <c r="CL22" s="113"/>
      <c r="CM22" s="113"/>
      <c r="CN22" s="113"/>
      <c r="CO22" s="113"/>
    </row>
    <row r="23" ht="30" customHeight="1">
      <c r="B23" s="326"/>
      <c r="C23" s="13" t="s">
        <v>233</v>
      </c>
      <c r="D23" s="13" t="s">
        <v>234</v>
      </c>
      <c r="E23" s="22"/>
      <c r="F23" s="23"/>
      <c r="G23" s="11"/>
      <c r="H23" s="11"/>
      <c r="I23" s="11"/>
      <c r="J23" s="11"/>
      <c r="K23" s="11"/>
      <c r="L23" s="11"/>
      <c r="M23" s="32"/>
      <c r="N23" s="33"/>
      <c r="O23" s="9"/>
      <c r="P23" s="9"/>
      <c r="Q23" s="9"/>
      <c r="R23" s="33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33"/>
      <c r="AJ23" s="33"/>
      <c r="AK23" s="33"/>
      <c r="AL23" s="33"/>
      <c r="AM23" s="33"/>
      <c r="AN23" s="10"/>
      <c r="AO23" s="11"/>
      <c r="AP23" s="11"/>
      <c r="AQ23" s="11"/>
      <c r="AR23" s="11"/>
      <c r="AS23" s="11"/>
      <c r="AT23" s="11"/>
      <c r="AU23" s="11"/>
      <c r="AV23" s="11"/>
      <c r="AW23" s="11"/>
      <c r="AX23" s="40"/>
      <c r="AY23" s="40"/>
      <c r="AZ23" s="40"/>
      <c r="BA23" s="40"/>
      <c r="BB23" s="40"/>
      <c r="BC23" s="40"/>
      <c r="BD23" s="11"/>
      <c r="BE23" s="11"/>
      <c r="BF23" s="32"/>
      <c r="BG23" s="33"/>
      <c r="BH23" s="33"/>
      <c r="BI23" s="32"/>
      <c r="BJ23" s="39"/>
      <c r="BK23" s="39"/>
      <c r="BL23" s="184"/>
      <c r="BM23" s="33"/>
      <c r="BN23" s="33"/>
      <c r="BO23" s="104"/>
      <c r="BP23" s="104"/>
      <c r="BQ23" s="33"/>
      <c r="BR23" s="33"/>
      <c r="BS23" s="33"/>
      <c r="BT23" s="90"/>
      <c r="BU23" s="90"/>
      <c r="BV23" s="90"/>
      <c r="BW23" s="90"/>
      <c r="BX23" s="108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3"/>
      <c r="CL23" s="113"/>
      <c r="CM23" s="113"/>
      <c r="CN23" s="113"/>
      <c r="CO23" s="113"/>
    </row>
    <row r="24" ht="30" customHeight="1">
      <c r="B24" s="332"/>
      <c r="C24" s="184" t="s">
        <v>235</v>
      </c>
      <c r="D24" s="13" t="s">
        <v>234</v>
      </c>
      <c r="E24" s="14"/>
      <c r="F24" s="15"/>
      <c r="G24" s="10"/>
      <c r="H24" s="11"/>
      <c r="I24" s="11"/>
      <c r="J24" s="11"/>
      <c r="K24" s="11"/>
      <c r="L24" s="11"/>
      <c r="M24" s="32"/>
      <c r="N24" s="33"/>
      <c r="O24" s="9"/>
      <c r="P24" s="9"/>
      <c r="Q24" s="9"/>
      <c r="R24" s="33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33"/>
      <c r="AJ24" s="33"/>
      <c r="AK24" s="33"/>
      <c r="AL24" s="33"/>
      <c r="AM24" s="33"/>
      <c r="AN24" s="10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32"/>
      <c r="BG24" s="33"/>
      <c r="BH24" s="33"/>
      <c r="BI24" s="33"/>
      <c r="BJ24" s="33"/>
      <c r="BK24" s="33"/>
      <c r="BL24" s="39"/>
      <c r="BM24" s="39"/>
      <c r="BN24" s="39"/>
      <c r="BO24" s="39"/>
      <c r="BP24" s="39"/>
      <c r="BQ24" s="105"/>
      <c r="BR24" s="105"/>
      <c r="BS24" s="105"/>
      <c r="BT24" s="105"/>
      <c r="BU24" s="105"/>
      <c r="BV24" s="105"/>
      <c r="BW24" s="105"/>
      <c r="BX24" s="105"/>
      <c r="BY24" s="109"/>
      <c r="BZ24" s="109"/>
      <c r="CA24" s="109"/>
      <c r="CB24" s="109"/>
      <c r="CC24" s="113"/>
      <c r="CD24" s="113"/>
      <c r="CE24" s="113"/>
      <c r="CF24" s="113"/>
      <c r="CG24" s="113"/>
      <c r="CH24" s="113"/>
      <c r="CI24" s="113"/>
      <c r="CJ24" s="113"/>
      <c r="CK24" s="113"/>
      <c r="CL24" s="113"/>
      <c r="CM24" s="113"/>
      <c r="CN24" s="113"/>
      <c r="CO24" s="113"/>
    </row>
    <row r="25" ht="30" customHeight="1">
      <c r="B25" s="327" t="s">
        <v>236</v>
      </c>
      <c r="C25" s="9" t="s">
        <v>237</v>
      </c>
      <c r="D25" s="9" t="s">
        <v>238</v>
      </c>
      <c r="E25" s="14"/>
      <c r="F25" s="15"/>
      <c r="G25" s="11"/>
      <c r="H25" s="11"/>
      <c r="I25" s="11"/>
      <c r="J25" s="11"/>
      <c r="K25" s="11"/>
      <c r="L25" s="11"/>
      <c r="M25" s="11"/>
      <c r="N25" s="40"/>
      <c r="O25" s="40"/>
      <c r="P25" s="41"/>
      <c r="Q25" s="41"/>
      <c r="R25" s="59"/>
      <c r="S25" s="40"/>
      <c r="T25" s="40"/>
      <c r="U25" s="40"/>
      <c r="V25" s="6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11"/>
      <c r="AJ25" s="11"/>
      <c r="AK25" s="11"/>
      <c r="AL25" s="11"/>
      <c r="AM25" s="32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90"/>
      <c r="BB25" s="90"/>
      <c r="BC25" s="90"/>
      <c r="BD25" s="90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08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</row>
    <row r="26" ht="30" customHeight="1">
      <c r="B26" s="328"/>
      <c r="C26" s="13" t="s">
        <v>239</v>
      </c>
      <c r="D26" s="9" t="s">
        <v>238</v>
      </c>
      <c r="E26" s="24"/>
      <c r="F26" s="25"/>
      <c r="G26" s="82"/>
      <c r="H26" s="82"/>
      <c r="I26" s="82"/>
      <c r="J26" s="82"/>
      <c r="K26" s="82"/>
      <c r="L26" s="82"/>
      <c r="M26" s="82"/>
      <c r="N26" s="82"/>
      <c r="O26" s="82"/>
      <c r="P26" s="42"/>
      <c r="Q26" s="42"/>
      <c r="R26" s="61"/>
      <c r="S26" s="61"/>
      <c r="T26" s="61"/>
      <c r="U26" s="61"/>
      <c r="V26" s="62"/>
      <c r="W26" s="61"/>
      <c r="X26" s="61"/>
      <c r="Y26" s="61"/>
      <c r="Z26" s="61"/>
      <c r="AA26" s="61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1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113"/>
      <c r="BV26" s="113"/>
      <c r="BW26" s="113"/>
      <c r="BX26" s="108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</row>
    <row r="27" ht="30" customHeight="1">
      <c r="B27" s="328"/>
      <c r="C27" s="27" t="s">
        <v>185</v>
      </c>
      <c r="D27" s="9" t="s">
        <v>238</v>
      </c>
      <c r="E27" s="9"/>
      <c r="F27" s="9"/>
      <c r="G27" s="9"/>
      <c r="H27" s="9"/>
      <c r="I27" s="9"/>
      <c r="J27" s="9"/>
      <c r="K27" s="9"/>
      <c r="L27" s="9"/>
      <c r="M27" s="43"/>
      <c r="N27" s="9"/>
      <c r="O27" s="9"/>
      <c r="P27" s="9"/>
      <c r="Q27" s="9"/>
      <c r="R27" s="9"/>
      <c r="S27" s="43"/>
      <c r="T27" s="43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113"/>
      <c r="BB27" s="113"/>
      <c r="BC27" s="113"/>
      <c r="BD27" s="113"/>
      <c r="BE27" s="113"/>
      <c r="BF27" s="113"/>
      <c r="BG27" s="113"/>
      <c r="BH27" s="113"/>
      <c r="BI27" s="113"/>
      <c r="BJ27" s="113"/>
      <c r="BK27" s="113"/>
      <c r="BL27" s="113"/>
      <c r="BM27" s="113"/>
      <c r="BN27" s="113"/>
      <c r="BO27" s="113"/>
      <c r="BP27" s="113"/>
      <c r="BQ27" s="113"/>
      <c r="BR27" s="113"/>
      <c r="BS27" s="113"/>
      <c r="BT27" s="113"/>
      <c r="BU27" s="113"/>
      <c r="BV27" s="113"/>
      <c r="BW27" s="113"/>
      <c r="BX27" s="108"/>
      <c r="BY27" s="113"/>
      <c r="BZ27" s="113"/>
      <c r="CA27" s="113"/>
      <c r="CB27" s="113"/>
      <c r="CC27" s="113"/>
      <c r="CD27" s="113"/>
      <c r="CE27" s="113"/>
      <c r="CF27" s="113"/>
      <c r="CG27" s="113"/>
      <c r="CH27" s="113"/>
      <c r="CI27" s="113"/>
      <c r="CJ27" s="113"/>
      <c r="CK27" s="113"/>
      <c r="CL27" s="113"/>
      <c r="CM27" s="113"/>
      <c r="CN27" s="113"/>
      <c r="CO27" s="113"/>
    </row>
    <row r="28" ht="30" customHeight="1">
      <c r="B28" s="328"/>
      <c r="C28" s="13" t="s">
        <v>240</v>
      </c>
      <c r="D28" s="9" t="s">
        <v>238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63"/>
      <c r="U28" s="63"/>
      <c r="V28" s="63"/>
      <c r="W28" s="63"/>
      <c r="X28" s="64"/>
      <c r="Y28" s="64"/>
      <c r="Z28" s="64"/>
      <c r="AA28" s="64"/>
      <c r="AB28" s="64"/>
      <c r="AC28" s="64"/>
      <c r="AD28" s="64"/>
      <c r="AE28" s="64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113"/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/>
      <c r="BP28" s="113"/>
      <c r="BQ28" s="113"/>
      <c r="BR28" s="113"/>
      <c r="BS28" s="113"/>
      <c r="BT28" s="113"/>
      <c r="BU28" s="113"/>
      <c r="BV28" s="113"/>
      <c r="BW28" s="113"/>
      <c r="BX28" s="108"/>
      <c r="BY28" s="113"/>
      <c r="BZ28" s="113"/>
      <c r="CA28" s="113"/>
      <c r="CB28" s="113"/>
      <c r="CC28" s="113"/>
      <c r="CD28" s="113"/>
      <c r="CE28" s="113"/>
      <c r="CF28" s="113"/>
      <c r="CG28" s="113"/>
      <c r="CH28" s="113"/>
      <c r="CI28" s="113"/>
      <c r="CJ28" s="113"/>
      <c r="CK28" s="113"/>
      <c r="CL28" s="113"/>
      <c r="CM28" s="113"/>
      <c r="CN28" s="113"/>
      <c r="CO28" s="113"/>
    </row>
    <row r="29" ht="30" customHeight="1">
      <c r="B29" s="328"/>
      <c r="C29" s="28" t="s">
        <v>241</v>
      </c>
      <c r="D29" s="29" t="s">
        <v>238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65"/>
      <c r="R29" s="66"/>
      <c r="S29" s="66"/>
      <c r="T29" s="66"/>
      <c r="U29" s="66"/>
      <c r="V29" s="66"/>
      <c r="W29" s="66"/>
      <c r="X29" s="65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113"/>
      <c r="BV29" s="113"/>
      <c r="BW29" s="113"/>
      <c r="BX29" s="108"/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  <c r="CK29" s="113"/>
      <c r="CL29" s="113"/>
      <c r="CM29" s="113"/>
      <c r="CN29" s="113"/>
      <c r="CO29" s="113"/>
    </row>
    <row r="30" ht="30" customHeight="1">
      <c r="B30" s="325" t="s">
        <v>242</v>
      </c>
      <c r="C30" s="13" t="s">
        <v>243</v>
      </c>
      <c r="D30" s="9" t="s">
        <v>244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43"/>
      <c r="AK30" s="43"/>
      <c r="AL30" s="43"/>
      <c r="AM30" s="43"/>
      <c r="AN30" s="43"/>
      <c r="AO30" s="43"/>
      <c r="AP30" s="43"/>
      <c r="AQ30" s="43"/>
      <c r="AR30" s="9"/>
      <c r="AS30" s="9"/>
      <c r="AT30" s="9"/>
      <c r="AU30" s="9"/>
      <c r="AV30" s="9"/>
      <c r="AW30" s="9"/>
      <c r="AX30" s="9"/>
      <c r="AY30" s="9"/>
      <c r="AZ30" s="9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3"/>
      <c r="BM30" s="113"/>
      <c r="BN30" s="113"/>
      <c r="BO30" s="113"/>
      <c r="BP30" s="113"/>
      <c r="BQ30" s="113"/>
      <c r="BR30" s="113"/>
      <c r="BS30" s="113"/>
      <c r="BT30" s="113"/>
      <c r="BU30" s="113"/>
      <c r="BV30" s="113"/>
      <c r="BW30" s="113"/>
      <c r="BX30" s="108"/>
      <c r="BY30" s="113"/>
      <c r="BZ30" s="113"/>
      <c r="CA30" s="113"/>
      <c r="CB30" s="113"/>
      <c r="CC30" s="113"/>
      <c r="CD30" s="113"/>
      <c r="CE30" s="113"/>
      <c r="CF30" s="113"/>
      <c r="CG30" s="113"/>
      <c r="CH30" s="113"/>
      <c r="CI30" s="113"/>
      <c r="CJ30" s="113"/>
      <c r="CK30" s="113"/>
      <c r="CL30" s="113"/>
      <c r="CM30" s="113"/>
      <c r="CN30" s="113"/>
      <c r="CO30" s="113"/>
    </row>
    <row r="31" ht="30" customHeight="1">
      <c r="B31" s="326"/>
      <c r="C31" s="9" t="s">
        <v>245</v>
      </c>
      <c r="D31" s="9" t="s">
        <v>246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0"/>
      <c r="BY31" s="111"/>
      <c r="BZ31" s="113"/>
      <c r="CA31" s="113"/>
      <c r="CB31" s="113"/>
      <c r="CC31" s="114"/>
      <c r="CD31" s="114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</row>
    <row r="32" ht="30" customHeight="1">
      <c r="B32" s="326"/>
      <c r="C32" s="19" t="s">
        <v>247</v>
      </c>
      <c r="D32" s="9" t="s">
        <v>246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89"/>
      <c r="AS32" s="89"/>
      <c r="AT32" s="9"/>
      <c r="AU32" s="9"/>
      <c r="AV32" s="9"/>
      <c r="AW32" s="9"/>
      <c r="AX32" s="9"/>
      <c r="AY32" s="9"/>
      <c r="AZ32" s="9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2"/>
      <c r="BY32" s="9"/>
      <c r="BZ32" s="113"/>
      <c r="CA32" s="113"/>
      <c r="CB32" s="113"/>
      <c r="CC32" s="113"/>
      <c r="CD32" s="113"/>
      <c r="CE32" s="89"/>
      <c r="CF32" s="89"/>
      <c r="CG32" s="89"/>
      <c r="CH32" s="89"/>
      <c r="CI32" s="89"/>
      <c r="CJ32" s="89"/>
      <c r="CK32" s="113"/>
      <c r="CL32" s="113"/>
      <c r="CM32" s="113"/>
      <c r="CN32" s="113"/>
      <c r="CO32" s="113"/>
    </row>
    <row r="33" ht="30" customHeight="1">
      <c r="B33" s="326"/>
      <c r="C33" s="19" t="s">
        <v>248</v>
      </c>
      <c r="D33" s="9" t="s">
        <v>238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  <c r="BK33" s="113"/>
      <c r="BL33" s="113"/>
      <c r="BM33" s="113"/>
      <c r="BN33" s="113"/>
      <c r="BO33" s="113"/>
      <c r="BP33" s="113"/>
      <c r="BQ33" s="113"/>
      <c r="BR33" s="113"/>
      <c r="BS33" s="113"/>
      <c r="BT33" s="113"/>
      <c r="BU33" s="113"/>
      <c r="BV33" s="113"/>
      <c r="BW33" s="113"/>
      <c r="BX33" s="108"/>
      <c r="BY33" s="9"/>
      <c r="BZ33" s="113"/>
      <c r="CA33" s="113"/>
      <c r="CB33" s="113"/>
      <c r="CC33" s="113"/>
      <c r="CD33" s="113"/>
      <c r="CE33" s="113"/>
      <c r="CF33" s="9"/>
      <c r="CG33" s="113"/>
      <c r="CH33" s="113"/>
      <c r="CI33" s="113"/>
      <c r="CJ33" s="113"/>
      <c r="CK33" s="117"/>
      <c r="CL33" s="117"/>
      <c r="CM33" s="117"/>
      <c r="CN33" s="113"/>
      <c r="CO33" s="113"/>
    </row>
    <row r="34" ht="30" customHeight="1">
      <c r="B34" s="326"/>
      <c r="C34" s="27" t="s">
        <v>249</v>
      </c>
      <c r="D34" s="9" t="s">
        <v>238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  <c r="BL34" s="113"/>
      <c r="BM34" s="113"/>
      <c r="BN34" s="113"/>
      <c r="BO34" s="113"/>
      <c r="BP34" s="113"/>
      <c r="BQ34" s="113"/>
      <c r="BR34" s="113"/>
      <c r="BS34" s="113"/>
      <c r="BT34" s="113"/>
      <c r="BU34" s="113"/>
      <c r="BV34" s="113"/>
      <c r="BW34" s="113"/>
      <c r="BX34" s="108"/>
      <c r="BY34" s="9"/>
      <c r="BZ34" s="113"/>
      <c r="CA34" s="113"/>
      <c r="CB34" s="113"/>
      <c r="CC34" s="113"/>
      <c r="CD34" s="113"/>
      <c r="CE34" s="113"/>
      <c r="CF34" s="9"/>
      <c r="CG34" s="113"/>
      <c r="CH34" s="113"/>
      <c r="CI34" s="113"/>
      <c r="CJ34" s="113"/>
      <c r="CK34" s="113"/>
      <c r="CL34" s="113"/>
      <c r="CM34" s="113"/>
      <c r="CN34" s="118"/>
      <c r="CO34" s="118"/>
    </row>
  </sheetData>
  <mergeCells count="29">
    <mergeCell ref="Y2:AB2"/>
    <mergeCell ref="AC2:AF2"/>
    <mergeCell ref="B3:C3"/>
    <mergeCell ref="B15:B24"/>
    <mergeCell ref="CK2:CN2"/>
    <mergeCell ref="C1:BT1"/>
    <mergeCell ref="AS2:AV2"/>
    <mergeCell ref="E2:H2"/>
    <mergeCell ref="U2:X2"/>
    <mergeCell ref="AK2:AN2"/>
    <mergeCell ref="AO2:AR2"/>
    <mergeCell ref="BY2:CB2"/>
    <mergeCell ref="B2:C2"/>
    <mergeCell ref="I2:L2"/>
    <mergeCell ref="BI2:BL2"/>
    <mergeCell ref="AG2:AJ2"/>
    <mergeCell ref="AW2:AZ2"/>
    <mergeCell ref="B30:B34"/>
    <mergeCell ref="B4:B12"/>
    <mergeCell ref="BU2:BX2"/>
    <mergeCell ref="BE2:BH2"/>
    <mergeCell ref="BM2:BP2"/>
    <mergeCell ref="Q2:T2"/>
    <mergeCell ref="BA2:BD2"/>
    <mergeCell ref="CG2:CJ2"/>
    <mergeCell ref="BQ2:BT2"/>
    <mergeCell ref="CC2:CF2"/>
    <mergeCell ref="M2:P2"/>
    <mergeCell ref="B25:B29"/>
  </mergeCells>
  <phoneticPr fontId="1" type="noConversion"/>
  <pageMargins left="0.7" right="0.7" top="0.75" bottom="0.75" header="0.3" footer="0.3"/>
</worksheet>
</file>

<file path=customXml/dingComments.xml><?xml version="1.0" encoding="utf-8"?>
<dingComments>
  <dingCommentList sheetId="3">
    <dingComment ref="AS12" cmtId="cmt-edf3aef7-12824"/>
    <dingComment ref="AR23" cmtId="cmt-86aafa92-99240"/>
    <dingComment ref="AS11" cmtId="cmt-9bb0f994-57971"/>
    <dingComment ref="AR16" cmtId="cmt-63d540a6-33404"/>
    <dingComment ref="AW39" cmtId="cmt-60281f4c-81530"/>
    <dingComment ref="C24" cmtId="cmt-46fc944c-57075"/>
    <dingComment ref="AU9" cmtId="cmt-4a6a9b26-08136"/>
    <dingComment ref="D40" cmtId="cmt-d9381180-50332"/>
    <dingComment ref="AW25" cmtId="cmt-ef587b87-35354"/>
    <dingComment ref="AU16" cmtId="cmt-f8ee19bc-08119"/>
    <dingComment ref="AT19" cmtId="cmt-ef18d711-24377"/>
    <dingComment ref="AS16" cmtId="cmt-d7b7b569-15697"/>
    <dingComment ref="AT36" cmtId="cmt-f3641fd4-09949"/>
    <dingComment ref="AU11" cmtId="cmt-e0c51b75-41411"/>
    <dingComment ref="AT8" cmtId="cmt-167c4e69-54357"/>
    <dingComment ref="BA43" cmtId="cmt-c8055ab2-82652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2026-07-01T15:09:35Z</dcterms:modified>
</cp:coreProperties>
</file>