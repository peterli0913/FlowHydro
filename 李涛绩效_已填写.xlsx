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李涛自评" sheetId="1" state="visible" r:id="rId1"/>
  </sheets>
  <externalReferences>
    <externalReference xmlns:r="http://schemas.openxmlformats.org/officeDocument/2006/relationships"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[$-409]mmm;@"/>
  </numFmts>
  <fonts count="11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微软雅黑"/>
      <charset val="134"/>
      <family val="2"/>
      <b val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微软雅黑"/>
      <charset val="134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color rgb="FF000000"/>
      <sz val="10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C4CC"/>
      </left>
      <right style="thin">
        <color rgb="00BFC4CC"/>
      </right>
      <top style="thin">
        <color rgb="00BFC4CC"/>
      </top>
      <bottom style="thin">
        <color rgb="00BFC4CC"/>
      </bottom>
    </border>
  </borders>
  <cellStyleXfs count="6">
    <xf numFmtId="0" fontId="0" fillId="0" borderId="0"/>
    <xf numFmtId="164" fontId="2" fillId="0" borderId="0"/>
    <xf numFmtId="164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</cellStyleXfs>
  <cellXfs count="39">
    <xf numFmtId="0" fontId="0" fillId="0" borderId="0" pivotButton="0" quotePrefix="0" xfId="0"/>
    <xf numFmtId="0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4" fontId="3" fillId="3" borderId="1" applyAlignment="1" pivotButton="0" quotePrefix="0" xfId="1">
      <alignment horizontal="center" vertical="center" wrapText="1"/>
    </xf>
    <xf numFmtId="164" fontId="3" fillId="4" borderId="1" applyAlignment="1" pivotButton="0" quotePrefix="0" xfId="1">
      <alignment horizontal="center" vertical="center" wrapText="1"/>
    </xf>
    <xf numFmtId="164" fontId="3" fillId="3" borderId="1" applyAlignment="1" pivotButton="0" quotePrefix="0" xfId="2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9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7" fillId="4" borderId="1" pivotButton="0" quotePrefix="0" xfId="0"/>
    <xf numFmtId="0" fontId="7" fillId="0" borderId="0" pivotButton="0" quotePrefix="0" xfId="0"/>
    <xf numFmtId="0" fontId="3" fillId="0" borderId="1" applyAlignment="1" pivotButton="0" quotePrefix="0" xfId="4">
      <alignment horizontal="left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4">
      <alignment horizontal="left" vertical="center" wrapText="1"/>
    </xf>
    <xf numFmtId="0" fontId="6" fillId="0" borderId="1" applyAlignment="1" pivotButton="0" quotePrefix="0" xfId="5">
      <alignment vertical="center" wrapText="1"/>
    </xf>
    <xf numFmtId="9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165" fontId="8" fillId="0" borderId="1" applyAlignment="1" pivotButton="0" quotePrefix="0" xfId="3">
      <alignment horizontal="center" vertical="center" wrapText="1"/>
    </xf>
    <xf numFmtId="165" fontId="6" fillId="5" borderId="1" applyAlignment="1" pivotButton="0" quotePrefix="0" xfId="3">
      <alignment vertical="center" wrapText="1"/>
    </xf>
    <xf numFmtId="9" fontId="8" fillId="0" borderId="1" applyAlignment="1" pivotButton="0" quotePrefix="0" xfId="3">
      <alignment horizontal="center" vertical="center" wrapText="1"/>
    </xf>
    <xf numFmtId="165" fontId="9" fillId="0" borderId="1" applyAlignment="1" pivotButton="0" quotePrefix="0" xfId="3">
      <alignment horizontal="center" vertical="center" wrapText="1"/>
    </xf>
    <xf numFmtId="0" fontId="0" fillId="0" borderId="0" pivotButton="0" quotePrefix="0" xfId="0"/>
    <xf numFmtId="164" fontId="3" fillId="2" borderId="1" applyAlignment="1" pivotButton="0" quotePrefix="0" xfId="1">
      <alignment horizontal="center" vertical="center" wrapText="1"/>
    </xf>
    <xf numFmtId="164" fontId="3" fillId="3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4" borderId="1" applyAlignment="1" pivotButton="0" quotePrefix="0" xfId="1">
      <alignment horizontal="center" vertical="center" wrapText="1"/>
    </xf>
    <xf numFmtId="0" fontId="0" fillId="0" borderId="4" pivotButton="0" quotePrefix="0" xfId="0"/>
    <xf numFmtId="164" fontId="3" fillId="3" borderId="1" applyAlignment="1" pivotButton="0" quotePrefix="0" xfId="2">
      <alignment horizontal="center" vertical="center" wrapText="1"/>
    </xf>
    <xf numFmtId="0" fontId="10" fillId="4" borderId="9" applyAlignment="1" pivotButton="0" quotePrefix="0" xfId="0">
      <alignment horizontal="left" vertical="top" wrapText="1"/>
    </xf>
    <xf numFmtId="0" fontId="0" fillId="0" borderId="3" pivotButton="0" quotePrefix="0" xfId="0"/>
    <xf numFmtId="165" fontId="8" fillId="0" borderId="1" applyAlignment="1" pivotButton="0" quotePrefix="0" xfId="3">
      <alignment horizontal="center" vertical="center" wrapText="1"/>
    </xf>
    <xf numFmtId="165" fontId="6" fillId="5" borderId="1" applyAlignment="1" pivotButton="0" quotePrefix="0" xfId="3">
      <alignment vertical="center" wrapText="1"/>
    </xf>
    <xf numFmtId="165" fontId="9" fillId="0" borderId="1" applyAlignment="1" pivotButton="0" quotePrefix="0" xfId="3">
      <alignment horizontal="center" vertical="center" wrapText="1"/>
    </xf>
  </cellXfs>
  <cellStyles count="6">
    <cellStyle name="常规" xfId="0" builtinId="0"/>
    <cellStyle name="常规 20 2 2 2" xfId="1"/>
    <cellStyle name="常规 108 2 2 2 7 2 2" xfId="2"/>
    <cellStyle name="常规 7 2" xfId="3"/>
    <cellStyle name="常规 2 5" xfId="4"/>
    <cellStyle name="常规 103 4 2 7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2304;&#27719;&#24635;&#12305;&#20154;&#21592;&#28165;&#21333;&amp;&#25351;&#26631;&#28165;&#21333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  <cell r="L3" t="str">
            <v>SVP</v>
          </cell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  <cell r="L4" t="str">
            <v>SVP</v>
          </cell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  <cell r="L6" t="str">
            <v>SVP</v>
          </cell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  <cell r="L7" t="str">
            <v>SVP</v>
          </cell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  <cell r="L9" t="str">
            <v>研发</v>
          </cell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  <cell r="L10" t="str">
            <v>研发</v>
          </cell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  <cell r="L11" t="str">
            <v>研发</v>
          </cell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  <cell r="L13" t="str">
            <v>研发</v>
          </cell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  <cell r="L17" t="str">
            <v>研发</v>
          </cell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  <cell r="L18" t="str">
            <v>研发</v>
          </cell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  <cell r="L19" t="str">
            <v>研发</v>
          </cell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  <cell r="L21" t="str">
            <v>研发</v>
          </cell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  <cell r="L22" t="str">
            <v>研发</v>
          </cell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  <cell r="L24" t="str">
            <v>研发</v>
          </cell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  <cell r="L25" t="str">
            <v>研发</v>
          </cell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  <cell r="L27" t="str">
            <v>研发</v>
          </cell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  <cell r="L29" t="str">
            <v>研发</v>
          </cell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  <cell r="L32" t="str">
            <v>研发</v>
          </cell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  <cell r="L33" t="str">
            <v>研发</v>
          </cell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  <cell r="L34" t="str">
            <v>研发</v>
          </cell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  <cell r="J35" t="str">
            <v>高层</v>
          </cell>
          <cell r="L35" t="str">
            <v>研发</v>
          </cell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  <cell r="L37" t="str">
            <v>研发</v>
          </cell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  <cell r="L39" t="str">
            <v>生产</v>
          </cell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  <cell r="L40" t="str">
            <v>生产</v>
          </cell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  <cell r="L41" t="str">
            <v>生产</v>
          </cell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  <cell r="L42" t="str">
            <v>生产</v>
          </cell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  <cell r="L44" t="str">
            <v>生产</v>
          </cell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  <cell r="L45" t="str">
            <v>生产</v>
          </cell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  <cell r="L46" t="str">
            <v>生产</v>
          </cell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  <cell r="L47" t="str">
            <v>生产</v>
          </cell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  <cell r="L48" t="str">
            <v>生产</v>
          </cell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  <cell r="L50" t="str">
            <v>生产</v>
          </cell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  <cell r="L51" t="str">
            <v>生产</v>
          </cell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  <cell r="L52" t="str">
            <v>生产</v>
          </cell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  <cell r="L53" t="str">
            <v>生产</v>
          </cell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  <cell r="L54" t="str">
            <v>生产</v>
          </cell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  <cell r="L55" t="str">
            <v>生产</v>
          </cell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  <cell r="L57" t="str">
            <v>生产</v>
          </cell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  <cell r="L58" t="str">
            <v>生产</v>
          </cell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  <cell r="L59" t="str">
            <v>生产</v>
          </cell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  <cell r="L60" t="str">
            <v>生产</v>
          </cell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  <cell r="L61" t="str">
            <v>生产</v>
          </cell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  <cell r="L62" t="str">
            <v>生产</v>
          </cell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  <cell r="L63" t="str">
            <v>生产</v>
          </cell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  <cell r="L64" t="str">
            <v>生产</v>
          </cell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  <cell r="J65" t="str">
            <v>高层</v>
          </cell>
          <cell r="L65" t="str">
            <v>职能</v>
          </cell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  <cell r="L68" t="str">
            <v>生产</v>
          </cell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  <cell r="L69" t="str">
            <v>生产</v>
          </cell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  <cell r="L71" t="str">
            <v>生产</v>
          </cell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  <cell r="L73" t="str">
            <v>生产</v>
          </cell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  <cell r="L74" t="str">
            <v>生产</v>
          </cell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  <cell r="L77" t="str">
            <v>分析</v>
          </cell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  <cell r="L80" t="str">
            <v>分析</v>
          </cell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  <cell r="L81" t="str">
            <v>分析</v>
          </cell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  <cell r="L83" t="str">
            <v>分析</v>
          </cell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  <cell r="L84" t="str">
            <v>分析</v>
          </cell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  <cell r="L85" t="str">
            <v>分析</v>
          </cell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  <cell r="L87" t="str">
            <v>分析</v>
          </cell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  <cell r="L88" t="str">
            <v>分析</v>
          </cell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  <cell r="L92" t="str">
            <v>分析</v>
          </cell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  <cell r="L96" t="str">
            <v>分析</v>
          </cell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  <cell r="L97" t="str">
            <v>分析</v>
          </cell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  <cell r="L98" t="str">
            <v>分析</v>
          </cell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  <cell r="L100" t="str">
            <v>分析</v>
          </cell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  <cell r="L102" t="str">
            <v>分析</v>
          </cell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  <cell r="L104" t="str">
            <v>分析</v>
          </cell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  <cell r="L106" t="str">
            <v>研发平台</v>
          </cell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  <cell r="L107" t="str">
            <v>研发平台</v>
          </cell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  <cell r="L108" t="str">
            <v>研发平台</v>
          </cell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  <cell r="L109" t="str">
            <v>研发平台</v>
          </cell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  <cell r="L111" t="str">
            <v>研发平台</v>
          </cell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  <cell r="L113" t="str">
            <v>研发平台</v>
          </cell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  <cell r="L115" t="str">
            <v>研发平台</v>
          </cell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  <cell r="L116" t="str">
            <v>研发平台</v>
          </cell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  <cell r="L117" t="str">
            <v>研发平台</v>
          </cell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  <cell r="L118" t="str">
            <v>研发平台</v>
          </cell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  <cell r="L122" t="str">
            <v>职能</v>
          </cell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  <cell r="L123" t="str">
            <v>职能</v>
          </cell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  <cell r="L124" t="str">
            <v>职能</v>
          </cell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  <cell r="L125" t="str">
            <v>职能</v>
          </cell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  <cell r="L126" t="str">
            <v>职能</v>
          </cell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  <cell r="L127" t="str">
            <v>职能</v>
          </cell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  <cell r="L128" t="str">
            <v>职能</v>
          </cell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  <cell r="L129" t="str">
            <v>职能</v>
          </cell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  <cell r="L130" t="str">
            <v>职能</v>
          </cell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  <cell r="L131" t="str">
            <v>职能</v>
          </cell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  <cell r="L132" t="str">
            <v>职能</v>
          </cell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  <cell r="L133" t="str">
            <v>职能</v>
          </cell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  <cell r="L134" t="str">
            <v>职能</v>
          </cell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  <cell r="L135" t="str">
            <v>职能</v>
          </cell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  <cell r="L136" t="str">
            <v>职能</v>
          </cell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  <cell r="L137" t="str">
            <v>职能</v>
          </cell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  <cell r="L138" t="str">
            <v>职能</v>
          </cell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  <cell r="L139" t="str">
            <v>职能</v>
          </cell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  <cell r="L140" t="str">
            <v>职能</v>
          </cell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  <cell r="L141" t="str">
            <v>职能</v>
          </cell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  <cell r="L142" t="str">
            <v>职能</v>
          </cell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  <cell r="L143" t="str">
            <v>职能</v>
          </cell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  <cell r="L144" t="str">
            <v>职能</v>
          </cell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  <cell r="L145" t="str">
            <v>职能</v>
          </cell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  <cell r="L146" t="str">
            <v>职能</v>
          </cell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  <cell r="L147" t="str">
            <v>职能</v>
          </cell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  <cell r="L148" t="str">
            <v>职能</v>
          </cell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  <cell r="L149" t="str">
            <v>职能</v>
          </cell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  <cell r="L150" t="str">
            <v>职能</v>
          </cell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  <cell r="L151" t="str">
            <v>职能</v>
          </cell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  <cell r="L152" t="str">
            <v>职能</v>
          </cell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  <cell r="L153" t="str">
            <v>职能</v>
          </cell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  <cell r="L154" t="str">
            <v>职能</v>
          </cell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  <cell r="L155" t="str">
            <v>职能</v>
          </cell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  <cell r="L156" t="str">
            <v>职能</v>
          </cell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  <cell r="L157" t="str">
            <v>职能</v>
          </cell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  <cell r="L158" t="str">
            <v>职能</v>
          </cell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  <cell r="L159" t="str">
            <v>职能</v>
          </cell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  <cell r="L160" t="str">
            <v>职能</v>
          </cell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  <cell r="L161" t="str">
            <v>职能</v>
          </cell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  <cell r="L162" t="str">
            <v>职能</v>
          </cell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  <cell r="L163" t="str">
            <v>职能</v>
          </cell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  <cell r="L164" t="str">
            <v>职能</v>
          </cell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  <cell r="L165" t="str">
            <v>职能</v>
          </cell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  <cell r="L166" t="str">
            <v>职能</v>
          </cell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  <cell r="L167" t="str">
            <v>职能</v>
          </cell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  <cell r="L168" t="str">
            <v>职能</v>
          </cell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  <cell r="L169" t="str">
            <v>职能</v>
          </cell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  <cell r="L170" t="str">
            <v>职能</v>
          </cell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8"/>
  <sheetViews>
    <sheetView tabSelected="1" workbookViewId="0">
      <selection activeCell="H6" sqref="H6:L6"/>
    </sheetView>
  </sheetViews>
  <sheetFormatPr baseColWidth="8" defaultRowHeight="13.9"/>
  <cols>
    <col width="2.265625" customWidth="1" style="26" min="1" max="1"/>
    <col width="4.73046875" bestFit="1" customWidth="1" style="26" min="2" max="2"/>
    <col width="5.86328125" customWidth="1" style="26" min="3" max="3"/>
    <col width="7.46484375" customWidth="1" style="26" min="5" max="5"/>
    <col width="10.73046875" customWidth="1" style="26" min="6" max="6"/>
    <col width="45.3984375" customWidth="1" style="26" min="7" max="7"/>
    <col width="11.3984375" customWidth="1" style="26" min="8" max="12"/>
    <col width="5.73046875" customWidth="1" style="26" min="13" max="13"/>
    <col width="12.265625" customWidth="1" style="26" min="14" max="14"/>
    <col width="55" customWidth="1" style="26" min="15" max="15"/>
    <col width="10" customWidth="1" style="26" min="16" max="16"/>
    <col width="26" customWidth="1" style="26" min="17" max="17"/>
  </cols>
  <sheetData>
    <row r="2" ht="14.65" customHeight="1" s="26">
      <c r="B2" s="1" t="inlineStr">
        <is>
          <t>序号</t>
        </is>
      </c>
      <c r="C2" s="27" t="inlineStr">
        <is>
          <t>指标
类型</t>
        </is>
      </c>
      <c r="D2" s="27" t="inlineStr">
        <is>
          <t>部门</t>
        </is>
      </c>
      <c r="E2" s="27" t="inlineStr">
        <is>
          <t>人员</t>
        </is>
      </c>
      <c r="F2" s="27" t="inlineStr">
        <is>
          <t>考核指标</t>
        </is>
      </c>
      <c r="G2" s="27" t="inlineStr">
        <is>
          <t>年度目标</t>
        </is>
      </c>
      <c r="H2" s="28" t="inlineStr">
        <is>
          <t>评价等级（每个等级对应目标）</t>
        </is>
      </c>
      <c r="I2" s="29" t="n"/>
      <c r="J2" s="29" t="n"/>
      <c r="K2" s="29" t="n"/>
      <c r="L2" s="30" t="n"/>
      <c r="M2" s="27" t="inlineStr">
        <is>
          <t>权重
比例</t>
        </is>
      </c>
      <c r="N2" s="27" t="inlineStr">
        <is>
          <t>数据来源</t>
        </is>
      </c>
      <c r="O2" s="31" t="inlineStr">
        <is>
          <t>完成情况</t>
        </is>
      </c>
      <c r="P2" s="31" t="inlineStr">
        <is>
          <t>实际得分</t>
        </is>
      </c>
      <c r="Q2" s="31" t="inlineStr">
        <is>
          <t>备注</t>
        </is>
      </c>
    </row>
    <row r="3" ht="14.65" customHeight="1" s="26">
      <c r="B3" s="32" t="n"/>
      <c r="C3" s="32" t="n"/>
      <c r="D3" s="32" t="n"/>
      <c r="E3" s="32" t="n"/>
      <c r="F3" s="32" t="n"/>
      <c r="G3" s="32" t="n"/>
      <c r="H3" s="33" t="inlineStr">
        <is>
          <t>A（120%）</t>
        </is>
      </c>
      <c r="I3" s="33" t="inlineStr">
        <is>
          <t>B（100%）</t>
        </is>
      </c>
      <c r="J3" s="33" t="inlineStr">
        <is>
          <t>C（90%）</t>
        </is>
      </c>
      <c r="K3" s="33" t="inlineStr">
        <is>
          <t>D（80%）</t>
        </is>
      </c>
      <c r="L3" s="33" t="inlineStr">
        <is>
          <t>E（0）</t>
        </is>
      </c>
      <c r="M3" s="32" t="n"/>
      <c r="N3" s="32" t="n"/>
      <c r="O3" s="32" t="n"/>
      <c r="P3" s="32" t="n"/>
      <c r="Q3" s="32" t="n"/>
    </row>
    <row r="4" ht="250" customFormat="1" customHeight="1" s="13">
      <c r="B4" s="16" t="n">
        <v>1</v>
      </c>
      <c r="C4" s="16" t="inlineStr">
        <is>
          <t>KPI</t>
        </is>
      </c>
      <c r="D4" s="16">
        <f>VLOOKUP(E4,'[1]2026年上-人员清单'!$F:$N,9,0)</f>
        <v/>
      </c>
      <c r="E4" s="16" t="inlineStr">
        <is>
          <t>李涛</t>
        </is>
      </c>
      <c r="F4" s="16" t="inlineStr">
        <is>
          <t>Sandwich项目管理支持</t>
        </is>
      </c>
      <c r="G4" s="8" t="inlineStr">
        <is>
          <t>1）连续氢化建设项目管理支持：
目前项目已推进至 HAZOP 完成阶段。2026年将持续支持并协调 CFCT、IEPE 与 SW 各方，推进布局设计、工程采购、CE认证、测试验证等工作，做好跨团队沟通与协同，保障项目按计划整体推进。</t>
        </is>
      </c>
      <c r="H4" s="9" t="inlineStr">
        <is>
          <t>完成年度目标，自评结合上级评价【加分上限为指标权重的20%】</t>
        </is>
      </c>
      <c r="I4" s="29" t="n"/>
      <c r="J4" s="29" t="n"/>
      <c r="K4" s="29" t="n"/>
      <c r="L4" s="30" t="n"/>
      <c r="M4" s="19" t="n">
        <v>0.5</v>
      </c>
      <c r="N4" s="20" t="inlineStr">
        <is>
          <t>自评+上级领导审核</t>
        </is>
      </c>
      <c r="O4" s="34" t="inlineStr">
        <is>
          <t>截至 2026 年上半年，作为国内项目管理支持，协调 CFCT、IEPE 与 UK Sandwich 三方，系统推动项目整体节奏，主要进展如下：
• 已推动关闭三方之间 30 余项关键设计议题（含 PFD / P&amp;ID / URS 三大设计文件对齐、SE01 气液分离器方案闭环、CE-MD 认证范围确定、防爆区域划分方向确定等），主要设计文件已推进至 v0.4-0.5 版本；
• 建立并稳定运行三方双周技术协作机制，通过双语《会议纪要跟踪表》系统跟踪超过 100 项议题，对英方问询、技术分歧、设计变更做到全过程可追溯；
• 有效应对超临界流体安全阀泄放计算、爆炸危险区域划分等前沿技术议题，组织国内技术团队与 UK 同行建立对等技术对话，避免项目在关键节点上被动等待；
• 完成 HAZOP 前设计基线对齐工作 —— 汇总国内 33 项待澄清问题与 UK 一方 59 项 Risk Register 合并至统一跟踪，为 2026 年 8 月中旬正式 HAZOP 铺路；
• 完成集团 7 月研发述职会议 Sandwich 章节的项目汇报支持（凯总）。
下半年计划：继续推动 HAZOP 完成、主设备采购启动、CE 认证正式启动，为 2027 年 FAT 与现场开车目标铺路。项目整体节奏可控。</t>
        </is>
      </c>
      <c r="P4" s="34" t="inlineStr">
        <is>
          <t>0.5</t>
        </is>
      </c>
      <c r="Q4" s="34" t="inlineStr">
        <is>
          <t>项目按计划推进，超期风险已受控</t>
        </is>
      </c>
    </row>
    <row r="5" ht="80" customFormat="1" customHeight="1" s="13">
      <c r="B5" s="35" t="n"/>
      <c r="C5" s="35" t="n"/>
      <c r="D5" s="35" t="n"/>
      <c r="E5" s="35" t="n"/>
      <c r="F5" s="35" t="n"/>
      <c r="G5" s="8" t="inlineStr">
        <is>
          <t>2）HPLC和冻干机建设项目管理支持：
目前项目已推进至可行性研究报告启动会阶段。2026年将持续支持并协调工程设备部与SW方的沟通对接，协助推进方案确认、需求澄清及项目整体实施，保障项目有序开展。</t>
        </is>
      </c>
      <c r="H5" s="9" t="inlineStr">
        <is>
          <t>完成年度目标，自评结合上级评价【加分上限为指标权重的20%】</t>
        </is>
      </c>
      <c r="I5" s="29" t="n"/>
      <c r="J5" s="29" t="n"/>
      <c r="K5" s="29" t="n"/>
      <c r="L5" s="30" t="n"/>
      <c r="M5" s="35" t="n"/>
      <c r="N5" s="35" t="n"/>
      <c r="O5" s="34" t="inlineStr">
        <is>
          <t>已协助推动可行性研究报告启动会顺利召开，配合工程设备部与 SW 方开展初期需求澄清、方案对齐工作。下半年将持续跟进详细方案讨论与项目实施节奏。</t>
        </is>
      </c>
      <c r="P5" s="34" t="inlineStr">
        <is>
          <t>0.2</t>
        </is>
      </c>
      <c r="Q5" s="34" t="inlineStr">
        <is>
          <t>项目处于早期阶段，按计划推进</t>
        </is>
      </c>
    </row>
    <row r="6" ht="80" customFormat="1" customHeight="1" s="13">
      <c r="B6" s="32" t="n"/>
      <c r="C6" s="32" t="n"/>
      <c r="D6" s="32" t="n"/>
      <c r="E6" s="32" t="n"/>
      <c r="F6" s="32" t="n"/>
      <c r="G6" s="14" t="inlineStr">
        <is>
          <t>3）902贴建项目管理支持：
目前项目已推进至可行性研究报告启动会阶段。2026年将持续支持并协调工程设备部与SW方的沟通与协同，推动项目方案讨论、需求落实及整体进度推进，确保项目按计划开展。</t>
        </is>
      </c>
      <c r="H6" s="9" t="inlineStr">
        <is>
          <t>完成年度目标，自评结合上级评价【加分上限为指标权重的20%】</t>
        </is>
      </c>
      <c r="I6" s="29" t="n"/>
      <c r="J6" s="29" t="n"/>
      <c r="K6" s="29" t="n"/>
      <c r="L6" s="30" t="n"/>
      <c r="M6" s="32" t="n"/>
      <c r="N6" s="32" t="n"/>
      <c r="O6" s="34" t="inlineStr">
        <is>
          <t>已配合完成可行性研究报告启动会阶段工作，参与工程设备部与 SW 方之间的方案讨论与需求对接。下半年将持续推动项目方案细化与实施准备。</t>
        </is>
      </c>
      <c r="P6" s="34" t="inlineStr">
        <is>
          <t>0.2</t>
        </is>
      </c>
      <c r="Q6" s="34" t="inlineStr">
        <is>
          <t>项目处于早期阶段，按计划推进</t>
        </is>
      </c>
    </row>
    <row r="7" ht="80" customFormat="1" customHeight="1" s="13">
      <c r="B7" s="16" t="n">
        <v>2</v>
      </c>
      <c r="C7" s="16" t="inlineStr">
        <is>
          <t>KPI</t>
        </is>
      </c>
      <c r="D7" s="16">
        <f>VLOOKUP(E7,'[1]2026年上-人员清单'!$F:$N,9,0)</f>
        <v/>
      </c>
      <c r="E7" s="16" t="inlineStr">
        <is>
          <t>李涛</t>
        </is>
      </c>
      <c r="F7" s="16" t="inlineStr">
        <is>
          <t>Sandwich 相关支持任务</t>
        </is>
      </c>
      <c r="G7" s="17" t="inlineStr">
        <is>
          <t>负责 Sandwich 站点年度预算申请、执行监控及回顾，并协调机器学习研讨小组，推动相关技术交流与协作落地</t>
        </is>
      </c>
      <c r="H7" s="18" t="inlineStr">
        <is>
          <t>月概算和月回顾100%完成</t>
        </is>
      </c>
      <c r="I7" s="18" t="inlineStr">
        <is>
          <t>100%＞完成率≥90%</t>
        </is>
      </c>
      <c r="J7" s="18" t="inlineStr">
        <is>
          <t>90%＞完成率≥80%</t>
        </is>
      </c>
      <c r="K7" s="18" t="inlineStr">
        <is>
          <t>80%＞完成率≥70%</t>
        </is>
      </c>
      <c r="L7" s="18" t="inlineStr">
        <is>
          <t>完成率＜70%</t>
        </is>
      </c>
      <c r="M7" s="19" t="n">
        <v>0.2</v>
      </c>
      <c r="N7" s="20" t="inlineStr">
        <is>
          <t>自评+上级领导审核</t>
        </is>
      </c>
      <c r="O7" s="34" t="inlineStr">
        <is>
          <t>负责 Sandwich 站点的月度概算申请、执行监控与月度回顾工作，累计完成月概算与月回顾全部按时提交。同时协调组织机器学习研讨小组，推动集团内技术交流与相关工具试用的落地。</t>
        </is>
      </c>
      <c r="P7" s="34" t="inlineStr">
        <is>
          <t>0.2</t>
        </is>
      </c>
      <c r="Q7" s="34" t="inlineStr">
        <is>
          <t>月概算与月回顾按时 100% 完成</t>
        </is>
      </c>
    </row>
    <row r="8" ht="60" customFormat="1" customHeight="1" s="13">
      <c r="B8" s="21" t="n">
        <v>3</v>
      </c>
      <c r="C8" s="36" t="inlineStr">
        <is>
          <t>KPI</t>
        </is>
      </c>
      <c r="D8" s="36">
        <f>VLOOKUP(E8,'[1]2026年上-人员清单'!$F:$N,9,0)</f>
        <v/>
      </c>
      <c r="E8" s="36" t="inlineStr">
        <is>
          <t>李涛</t>
        </is>
      </c>
      <c r="F8" s="36" t="inlineStr">
        <is>
          <t>重点工作</t>
        </is>
      </c>
      <c r="G8" s="37" t="inlineStr">
        <is>
          <t>配合推进电算化等生产管理重点工作。
支持生产管理重点工作的落实，全力推动，确保各项工作顺利开展。</t>
        </is>
      </c>
      <c r="H8" s="9" t="inlineStr">
        <is>
          <t>完成年度目标，自评结合上级评价【加分上限为指标权重的20%】</t>
        </is>
      </c>
      <c r="I8" s="29" t="n"/>
      <c r="J8" s="29" t="n"/>
      <c r="K8" s="29" t="n"/>
      <c r="L8" s="30" t="n"/>
      <c r="M8" s="24" t="n">
        <v>0.3</v>
      </c>
      <c r="N8" s="38" t="inlineStr">
        <is>
          <t>自评+上级领导审核</t>
        </is>
      </c>
      <c r="O8" s="34" t="inlineStr">
        <is>
          <t>配合集团电算化等生产管理重点工作的推进，支持相关流程梳理与推行落地，全力配合上级安排的各项专项任务顺利开展。</t>
        </is>
      </c>
      <c r="P8" s="34" t="inlineStr">
        <is>
          <t>0.3</t>
        </is>
      </c>
      <c r="Q8" s="34" t="inlineStr">
        <is>
          <t>按上级安排配合推进</t>
        </is>
      </c>
    </row>
  </sheetData>
  <mergeCells count="23">
    <mergeCell ref="D4:D6"/>
    <mergeCell ref="M2:M3"/>
    <mergeCell ref="B2:B3"/>
    <mergeCell ref="N2:N3"/>
    <mergeCell ref="D2:D3"/>
    <mergeCell ref="F2:F3"/>
    <mergeCell ref="H4:L4"/>
    <mergeCell ref="P2:P3"/>
    <mergeCell ref="M4:M6"/>
    <mergeCell ref="B4:B6"/>
    <mergeCell ref="H6:L6"/>
    <mergeCell ref="C2:C3"/>
    <mergeCell ref="E2:E3"/>
    <mergeCell ref="F4:F6"/>
    <mergeCell ref="H2:L2"/>
    <mergeCell ref="N4:N6"/>
    <mergeCell ref="E4:E6"/>
    <mergeCell ref="O2:O3"/>
    <mergeCell ref="Q2:Q3"/>
    <mergeCell ref="C4:C6"/>
    <mergeCell ref="H5:L5"/>
    <mergeCell ref="G2:G3"/>
    <mergeCell ref="H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2026-07-03T09:22:48Z</dcterms:modified>
</cp:coreProperties>
</file>