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120" firstSheet="2" activeTab="2"/>
  </bookViews>
  <sheets>
    <sheet name="设备投资概算评估 (集团内部-Sandwich)" sheetId="1" state="hidden" r:id="rId1"/>
    <sheet name="反馈认证费用" sheetId="2" state="hidden" r:id="rId2"/>
    <sheet name="周期时间 (集团内部-Sandwich)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<sst xmlns="http://schemas.openxmlformats.org/spreadsheetml/2006/main" count="377" uniqueCount="240">
  <si>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</si>
  <si>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</si>
  <si>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</si>
  <si>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</si>
  <si>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</si>
  <si>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</si>
  <si>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</si>
  <si>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</si>
  <si>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</si>
  <si>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</si>
  <si>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</si>
  <si>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</si>
  <si>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</si>
  <si>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</si>
  <si>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</si>
  <si>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</si>
  <si>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sz val="10"/>
        <color rgb="FF000000"/>
        <rFont val="微软雅黑"/>
        <charset val="134"/>
      </rPr>
      <t>立式储罐，体积：</t>
    </r>
    <r>
      <rPr>
        <sz val="10"/>
        <color rgb="FF0070C0"/>
        <rFont val="微软雅黑"/>
        <charset val="134"/>
      </rPr>
      <t>220L</t>
    </r>
    <r>
      <rPr>
        <sz val="10"/>
        <color rgb="FF000000"/>
        <rFont val="微软雅黑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charset val="134"/>
      </rPr>
      <t>220</t>
    </r>
    <r>
      <rPr>
        <sz val="10"/>
        <color rgb="FF000000"/>
        <rFont val="微软雅黑"/>
        <charset val="134"/>
      </rPr>
      <t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</si>
  <si>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</si>
  <si>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</si>
  <si>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</si>
  <si>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</si>
  <si>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r>
      <rPr>
        <sz val="10"/>
        <color rgb="FF000000"/>
        <rFont val="微软雅黑"/>
        <charset val="134"/>
      </rPr>
      <t>立式储罐，体积：</t>
    </r>
    <r>
      <rPr>
        <sz val="10"/>
        <color rgb="FF0070C0"/>
        <rFont val="微软雅黑"/>
        <charset val="134"/>
      </rPr>
      <t>220L</t>
    </r>
    <r>
      <rPr>
        <sz val="10"/>
        <color rgb="FF000000"/>
        <rFont val="微软雅黑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charset val="134"/>
      </rPr>
      <t>220L</t>
    </r>
    <r>
      <rPr>
        <sz val="10"/>
        <color rgb="FF000000"/>
        <rFont val="微软雅黑"/>
        <charset val="134"/>
      </rPr>
      <t>, material in contact with material: 316L, working pressure: atmospheric pressure</t>
    </r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</si>
  <si>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</si>
  <si>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</si>
  <si>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</si>
  <si>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</si>
  <si>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r>
      <rPr>
        <sz val="10"/>
        <color rgb="FF000000"/>
        <rFont val="微软雅黑"/>
        <charset val="134"/>
      </rPr>
      <t>立式反应柱，体积</t>
    </r>
    <r>
      <rPr>
        <sz val="10"/>
        <color rgb="FF0070C0"/>
        <rFont val="微软雅黑"/>
        <charset val="134"/>
      </rPr>
      <t>5.1</t>
    </r>
    <r>
      <rPr>
        <sz val="10"/>
        <color rgb="FF000000"/>
        <rFont val="微软雅黑"/>
        <charset val="134"/>
      </rPr>
      <t>L，换热面积：</t>
    </r>
    <r>
      <rPr>
        <sz val="10"/>
        <color rgb="FF0070C0"/>
        <rFont val="微软雅黑"/>
        <charset val="134"/>
      </rPr>
      <t>0.27</t>
    </r>
    <r>
      <rPr>
        <sz val="10"/>
        <color rgb="FF000000"/>
        <rFont val="微软雅黑"/>
        <charset val="134"/>
      </rPr>
      <t xml:space="preserve">㎡，与物料接触材质：316L
Vertical reaction column, volume </t>
    </r>
    <r>
      <rPr>
        <sz val="10"/>
        <color rgb="FF0070C0"/>
        <rFont val="微软雅黑"/>
        <charset val="134"/>
      </rPr>
      <t>5.1</t>
    </r>
    <r>
      <rPr>
        <sz val="10"/>
        <color rgb="FF000000"/>
        <rFont val="微软雅黑"/>
        <charset val="134"/>
      </rPr>
      <t xml:space="preserve">L, heat exchange area: </t>
    </r>
    <r>
      <rPr>
        <sz val="10"/>
        <color rgb="FF0070C0"/>
        <rFont val="微软雅黑"/>
        <charset val="134"/>
      </rPr>
      <t>0.27</t>
    </r>
    <r>
      <rPr>
        <sz val="10"/>
        <color rgb="FF000000"/>
        <rFont val="微软雅黑"/>
        <charset val="134"/>
      </rPr>
      <t xml:space="preserve"> ㎡, material in contact with material: 316L</t>
    </r>
  </si>
  <si>
    <t>原料反应
Raw material reaction</t>
  </si>
  <si>
    <t>DN80</t>
  </si>
  <si>
    <t>反应柱02
Continuous Reactor
 Column 02</t>
  </si>
  <si>
    <r>
      <rPr>
        <sz val="10"/>
        <color rgb="FF000000"/>
        <rFont val="微软雅黑"/>
        <charset val="134"/>
      </rPr>
      <t>立式反应柱，体积</t>
    </r>
    <r>
      <rPr>
        <sz val="10"/>
        <color rgb="FF0070C0"/>
        <rFont val="微软雅黑"/>
        <charset val="134"/>
      </rPr>
      <t>3.5</t>
    </r>
    <r>
      <rPr>
        <sz val="10"/>
        <color rgb="FF000000"/>
        <rFont val="微软雅黑"/>
        <charset val="134"/>
      </rPr>
      <t>L，换热面积：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 xml:space="preserve">㎡，与物料接触材质：316L
Vertical reaction column, volume </t>
    </r>
    <r>
      <rPr>
        <sz val="10"/>
        <color rgb="FF0070C0"/>
        <rFont val="微软雅黑"/>
        <charset val="134"/>
      </rPr>
      <t>3.5</t>
    </r>
    <r>
      <rPr>
        <sz val="10"/>
        <color rgb="FF000000"/>
        <rFont val="微软雅黑"/>
        <charset val="134"/>
      </rPr>
      <t xml:space="preserve">L, heat exchange area: 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 xml:space="preserve"> ㎡, material in contact with material: 316L</t>
    </r>
  </si>
  <si>
    <t>DN65</t>
  </si>
  <si>
    <t>反应柱03
Continuous Reactor
 Column 03</t>
  </si>
  <si>
    <r>
      <rPr>
        <sz val="10"/>
        <color rgb="FF000000"/>
        <rFont val="微软雅黑"/>
        <charset val="134"/>
      </rPr>
      <t>立式反应柱，体积</t>
    </r>
    <r>
      <rPr>
        <sz val="10"/>
        <color rgb="FF0070C0"/>
        <rFont val="微软雅黑"/>
        <charset val="134"/>
      </rPr>
      <t>3.5</t>
    </r>
    <r>
      <rPr>
        <sz val="10"/>
        <color rgb="FF000000"/>
        <rFont val="微软雅黑"/>
        <charset val="134"/>
      </rPr>
      <t>L，换热面积：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>㎡，与物料接触材质：316L
Vertical reaction column, volume</t>
    </r>
    <r>
      <rPr>
        <sz val="10"/>
        <color rgb="FF0070C0"/>
        <rFont val="微软雅黑"/>
        <charset val="134"/>
      </rPr>
      <t xml:space="preserve"> 3.5</t>
    </r>
    <r>
      <rPr>
        <sz val="10"/>
        <color rgb="FF000000"/>
        <rFont val="微软雅黑"/>
        <charset val="134"/>
      </rPr>
      <t xml:space="preserve">L, heat exchange area: 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</si>
  <si>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</si>
  <si>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</si>
  <si>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</si>
  <si>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</si>
  <si>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</si>
  <si>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</si>
  <si>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</si>
  <si>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</si>
  <si>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</si>
  <si>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</si>
  <si>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</si>
  <si>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</si>
  <si>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</si>
  <si>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</si>
  <si>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</si>
  <si>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</si>
  <si>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</si>
  <si>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</si>
  <si>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</si>
  <si>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液压隔膜泵，量程：40L/h，与物料接触材质：316L，单泵头，排出压力：8.0MPa
Hydraulic Diaphragm Pump, range: 40L/h, Material in contact with materials: 316L, Three pump heads, Discharge pressure：8.0MPa.</t>
  </si>
  <si>
    <t>进料，流速40L/h
feeding pump,40L/h.</t>
  </si>
  <si>
    <t>进口品牌，自带IECE认证，英文资料</t>
  </si>
  <si>
    <r>
      <rPr>
        <sz val="10"/>
        <color rgb="FF000000"/>
        <rFont val="微软雅黑"/>
        <charset val="134"/>
      </rPr>
      <t>液压隔膜泵，量程：</t>
    </r>
    <r>
      <rPr>
        <sz val="10"/>
        <color rgb="FF0070C0"/>
        <rFont val="微软雅黑"/>
        <charset val="134"/>
      </rPr>
      <t>0~1</t>
    </r>
    <r>
      <rPr>
        <sz val="10"/>
        <color rgb="FF000000"/>
        <rFont val="微软雅黑"/>
        <charset val="134"/>
      </rPr>
      <t xml:space="preserve">m3/h，与物料接触材质：316L，排出压力：0.6MPa，扬程：20m
Hydraulic Diaphragm Pump, range: </t>
    </r>
    <r>
      <rPr>
        <sz val="10"/>
        <color rgb="FF0070C0"/>
        <rFont val="微软雅黑"/>
        <charset val="134"/>
      </rPr>
      <t>0~1</t>
    </r>
    <r>
      <rPr>
        <sz val="10"/>
        <color rgb="FF000000"/>
        <rFont val="微软雅黑"/>
        <charset val="134"/>
      </rPr>
      <t>m3/h, material in contact with material: 316L, discharge pressure: 0.6MPa, head: 20m</t>
    </r>
  </si>
  <si>
    <t>产品转移泵
Product transfer pump</t>
  </si>
  <si>
    <t>电气仪表和自控阀门
Electrical instruments and control valves</t>
  </si>
  <si>
    <t>质量流量计
Mass Flowmeter</t>
  </si>
  <si>
    <r>
      <rPr>
        <sz val="10"/>
        <color rgb="FF000000"/>
        <rFont val="微软雅黑"/>
        <charset val="134"/>
      </rPr>
      <t>测量范围：0~</t>
    </r>
    <r>
      <rPr>
        <sz val="10"/>
        <color rgb="FF0070C0"/>
        <rFont val="微软雅黑"/>
        <charset val="134"/>
      </rPr>
      <t>50</t>
    </r>
    <r>
      <rPr>
        <sz val="10"/>
        <color rgb="FF000000"/>
        <rFont val="微软雅黑"/>
        <charset val="134"/>
      </rPr>
      <t>L/h，测量精度±0.5%，与物料接触材质：316L
Measuring range: 0~</t>
    </r>
    <r>
      <rPr>
        <sz val="10"/>
        <color rgb="FF0070C0"/>
        <rFont val="微软雅黑"/>
        <charset val="134"/>
      </rPr>
      <t>50</t>
    </r>
    <r>
      <rPr>
        <sz val="10"/>
        <color rgb="FF000000"/>
        <rFont val="微软雅黑"/>
        <charset val="134"/>
      </rPr>
      <t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</si>
  <si>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</si>
  <si>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</si>
  <si>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</si>
  <si>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</si>
  <si>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sz val="10"/>
        <color rgb="FF000000"/>
        <rFont val="微软雅黑"/>
        <charset val="134"/>
      </rPr>
      <t>测量范围：0-50L</t>
    </r>
    <r>
      <rPr>
        <sz val="10"/>
        <color rgb="FF000000"/>
        <rFont val="微软雅黑"/>
        <charset val="134"/>
      </rPr>
      <t>/min，测量精度±0.5%，与物料接触材质：</t>
    </r>
    <r>
      <rPr>
        <sz val="10"/>
        <color rgb="FF000000"/>
        <rFont val="微软雅黑"/>
        <charset val="134"/>
      </rPr>
      <t>316L</t>
    </r>
    <r>
      <rPr>
        <sz val="10"/>
        <color rgb="FF000000"/>
        <rFont val="微软雅黑"/>
        <charset val="134"/>
      </rPr>
      <t xml:space="preserve">
Measuring range: </t>
    </r>
    <r>
      <rPr>
        <sz val="10"/>
        <color rgb="FF000000"/>
        <rFont val="微软雅黑"/>
        <charset val="134"/>
      </rPr>
      <t>0-50L/min</t>
    </r>
    <r>
      <rPr>
        <sz val="10"/>
        <color rgb="FF000000"/>
        <rFont val="微软雅黑"/>
        <charset val="134"/>
      </rPr>
      <t xml:space="preserve">, Measuring accuracy: 0.5%, Material in contact with materials: </t>
    </r>
    <r>
      <rPr>
        <sz val="10"/>
        <color rgb="FF000000"/>
        <rFont val="微软雅黑"/>
        <charset val="134"/>
      </rPr>
      <t>316L</t>
    </r>
    <r>
      <rPr>
        <sz val="10"/>
        <color rgb="FF000000"/>
        <rFont val="微软雅黑"/>
        <charset val="134"/>
      </rPr>
      <t>.</t>
    </r>
  </si>
  <si>
    <t>H2</t>
  </si>
  <si>
    <r>
      <rPr>
        <sz val="10"/>
        <color rgb="FF000000"/>
        <rFont val="微软雅黑"/>
        <charset val="134"/>
      </rPr>
      <t>测量范围：0~</t>
    </r>
    <r>
      <rPr>
        <sz val="10"/>
        <color rgb="FF0070C0"/>
        <rFont val="微软雅黑"/>
        <charset val="134"/>
      </rPr>
      <t>50</t>
    </r>
    <r>
      <rPr>
        <sz val="10"/>
        <color rgb="FF000000"/>
        <rFont val="微软雅黑"/>
        <charset val="134"/>
      </rPr>
      <t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</si>
  <si>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</si>
  <si>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</si>
  <si>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r>
      <rPr>
        <sz val="10"/>
        <color rgb="FF000000"/>
        <rFont val="微软雅黑"/>
        <charset val="134"/>
      </rPr>
      <t>测量范围：0~10L/min，测量精度： ±0.5%，与物料接触材质：316L，</t>
    </r>
    <r>
      <rPr>
        <sz val="10"/>
        <color rgb="FF0070C0"/>
        <rFont val="微软雅黑"/>
        <charset val="134"/>
      </rPr>
      <t>介质：N2气体</t>
    </r>
    <r>
      <rPr>
        <sz val="10"/>
        <color rgb="FF000000"/>
        <rFont val="微软雅黑"/>
        <charset val="134"/>
      </rPr>
      <t xml:space="preserve">
Measuring range: 1~10L/min, Measuring accuracy: 0.5%, Material in contact with materials: 316L.Medium: N2 gas</t>
    </r>
  </si>
  <si>
    <t>N2</t>
  </si>
  <si>
    <t>温度变送器
Temperature Transmitter</t>
  </si>
  <si>
    <r>
      <rPr>
        <sz val="10"/>
        <color rgb="FF000000"/>
        <rFont val="微软雅黑"/>
        <charset val="134"/>
      </rPr>
      <t>测量范围：0~150</t>
    </r>
    <r>
      <rPr>
        <sz val="10"/>
        <color rgb="FF000000"/>
        <rFont val="微软雅黑"/>
        <charset val="134"/>
      </rPr>
      <t>℃，测量精度±0.2%FS，</t>
    </r>
    <r>
      <rPr>
        <sz val="10"/>
        <color rgb="FF000000"/>
        <rFont val="微软雅黑"/>
        <charset val="134"/>
      </rPr>
      <t>6mm</t>
    </r>
    <r>
      <rPr>
        <sz val="10"/>
        <color rgb="FF000000"/>
        <rFont val="微软雅黑"/>
        <charset val="134"/>
      </rPr>
      <t>探头
Measuring range: 0~</t>
    </r>
    <r>
      <rPr>
        <sz val="10"/>
        <color rgb="FF000000"/>
        <rFont val="微软雅黑"/>
        <charset val="134"/>
      </rPr>
      <t>150</t>
    </r>
    <r>
      <rPr>
        <sz val="10"/>
        <color rgb="FF000000"/>
        <rFont val="微软雅黑"/>
        <charset val="134"/>
      </rPr>
      <t xml:space="preserve">℃,  Measuring accuracy ±0.2%FS, </t>
    </r>
    <r>
      <rPr>
        <sz val="10"/>
        <color rgb="FF000000"/>
        <rFont val="微软雅黑"/>
        <charset val="134"/>
      </rPr>
      <t>6mm probe.</t>
    </r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</si>
  <si>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</si>
  <si>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</si>
  <si>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</si>
  <si>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</si>
  <si>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</si>
  <si>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</si>
  <si>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</si>
  <si>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</si>
  <si>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</si>
  <si>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</si>
  <si>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</si>
  <si>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</si>
  <si>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r>
      <rPr>
        <sz val="10"/>
        <color rgb="FF000000"/>
        <rFont val="微软雅黑"/>
        <charset val="134"/>
      </rPr>
      <t>工作压力：0.4MPa，工作温度： 10~40</t>
    </r>
    <r>
      <rPr>
        <sz val="10"/>
        <color rgb="FF000000"/>
        <rFont val="微软雅黑"/>
        <charset val="134"/>
      </rPr>
      <t xml:space="preserve">℃，防爆
Working pressure: 0.4MPa, working temperature: </t>
    </r>
    <r>
      <rPr>
        <sz val="10"/>
        <color rgb="FF000000"/>
        <rFont val="微软雅黑"/>
        <charset val="134"/>
      </rPr>
      <t>10~40</t>
    </r>
    <r>
      <rPr>
        <sz val="10"/>
        <color rgb="FF000000"/>
        <rFont val="微软雅黑"/>
        <charset val="134"/>
      </rPr>
      <t xml:space="preserve"> ℃,explosion-proof</t>
    </r>
  </si>
  <si>
    <t>流量调节
flow regulation</t>
  </si>
  <si>
    <t>气动开关阀
Pneumatic switching valve</t>
  </si>
  <si>
    <t>工作压力：0-8.0MPa，工作温度： -20~130 ℃，防爆
Working pressure: 0-8.0MPa, working temperature: -80~-70 ℃, explosion-proof</t>
  </si>
  <si>
    <t>开关控制
switch control</t>
  </si>
  <si>
    <t>控制系统
Control System</t>
  </si>
  <si>
    <t>控制系统（SCADA-现场防爆）
Control System</t>
  </si>
  <si>
    <r>
      <rPr>
        <sz val="10"/>
        <color rgb="FF000000"/>
        <rFont val="微软雅黑"/>
        <charset val="134"/>
      </rPr>
      <t>防爆变频柜：内置3个变频器（2.2kw），I/O模块若干，满足欧洲防爆要求（ATEX）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Explosion proof frequency conversion cabinet: equipped with 2 frequency converters and several I/O modules, meeting European explosion-proof requirements (ATEX)</t>
    </r>
  </si>
  <si>
    <r>
      <rPr>
        <sz val="10"/>
        <color rgb="FF000000"/>
        <rFont val="微软雅黑"/>
        <charset val="134"/>
      </rPr>
      <t>泵控制系统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Pump control System</t>
    </r>
  </si>
  <si>
    <t>西门子</t>
  </si>
  <si>
    <t>变频柜、PLC柜 合并，另外配置防爆操作站</t>
  </si>
  <si>
    <r>
      <rPr>
        <sz val="10"/>
        <color rgb="FF000000"/>
        <rFont val="微软雅黑"/>
        <charset val="134"/>
      </rPr>
      <t>移动防爆操作站：内置工控机，PLC控制，显示器，WINCC客户端软件，UPS电源等，满足欧洲防爆要求（ATEX）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Mobile explosion-proof operation station: built-in industrial computer, PLC control, display, WINCC client software, UPS power supply, etc., meeting European explosion-proof requirements (ATEX)</t>
    </r>
  </si>
  <si>
    <r>
      <rPr>
        <sz val="10"/>
        <color rgb="FF000000"/>
        <rFont val="微软雅黑"/>
        <charset val="134"/>
      </rPr>
      <t>控制系统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Control System</t>
    </r>
  </si>
  <si>
    <t>模块化组装
Modular assembly</t>
  </si>
  <si>
    <r>
      <rPr>
        <sz val="10"/>
        <color rgb="FF000000"/>
        <rFont val="微软雅黑"/>
        <charset val="134"/>
      </rPr>
      <t>设备手阀、单向阀、安全阀、管路及保温、模块化框架及</t>
    </r>
    <r>
      <rPr>
        <sz val="10"/>
        <color rgb="FF00B0F0"/>
        <rFont val="微软雅黑"/>
        <charset val="134"/>
      </rPr>
      <t>外部连接管线、步梯</t>
    </r>
    <r>
      <rPr>
        <sz val="10"/>
        <color rgb="FF000000"/>
        <rFont val="微软雅黑"/>
        <charset val="134"/>
      </rPr>
      <t xml:space="preserve">
Equipment hand valves, one-way valves, safety valves, pipelines and insulation, modular frames, and electrical pipelines, external connection pipelines, steps，etc</t>
    </r>
  </si>
  <si>
    <t>内部加工</t>
  </si>
  <si>
    <t>CFCT预估</t>
  </si>
  <si>
    <r>
      <rPr>
        <sz val="10"/>
        <color rgb="FF000000"/>
        <rFont val="微软雅黑"/>
        <charset val="134"/>
      </rPr>
      <t>仪表电气安装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E&amp;I Installation</t>
    </r>
  </si>
  <si>
    <r>
      <rPr>
        <sz val="10"/>
        <color rgb="FF000000"/>
        <rFont val="微软雅黑"/>
        <charset val="134"/>
      </rPr>
      <t>自控仪表、自控阀门、变频器撬装内安装、接线、测试。含撬装内部电缆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</si>
  <si>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</si>
  <si>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</si>
  <si>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sz val="10"/>
        <color rgb="FF000000"/>
        <rFont val="微软雅黑"/>
        <charset val="134"/>
      </rPr>
      <t>MD</t>
    </r>
    <r>
      <rPr>
        <sz val="10"/>
        <color rgb="FF000000"/>
        <rFont val="微软雅黑"/>
        <charset val="134"/>
      </rPr>
      <t xml:space="preserve">认证
</t>
    </r>
    <r>
      <rPr>
        <sz val="10"/>
        <color rgb="FF000000"/>
        <rFont val="微软雅黑"/>
        <charset val="134"/>
      </rPr>
      <t>MD</t>
    </r>
    <r>
      <rPr>
        <sz val="10"/>
        <color rgb="FF000000"/>
        <rFont val="微软雅黑"/>
        <charset val="134"/>
      </rPr>
      <t>certification</t>
    </r>
  </si>
  <si>
    <r>
      <rPr>
        <sz val="10"/>
        <color rgb="FF000000"/>
        <rFont val="微软雅黑"/>
        <charset val="134"/>
      </rPr>
      <t xml:space="preserve">Asymchem整撬认证，机械指令MD2006/42/EC
</t>
    </r>
    <r>
      <rPr>
        <sz val="10"/>
        <color rgb="FF000000"/>
        <rFont val="微软雅黑"/>
        <charset val="134"/>
      </rPr>
      <t>Asymchem whole pry certification, Machinery Directive MD2006/42/EC</t>
    </r>
  </si>
  <si>
    <t>供应商诚信报价</t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</si>
  <si>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</si>
  <si>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</si>
  <si>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</si>
  <si>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</si>
  <si>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</si>
  <si>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</si>
  <si>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</si>
  <si>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</si>
  <si>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</si>
  <si>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</si>
  <si>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>CFCT预估，请进出口部门协助核算</t>
  </si>
  <si>
    <t xml:space="preserve">设备安装
Equipment installation </t>
  </si>
  <si>
    <t>海外工厂设备安装
Overseas factory equipment installation</t>
  </si>
  <si>
    <t>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</si>
  <si>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</si>
  <si>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</si>
  <si>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</si>
  <si>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</si>
  <si>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</si>
  <si>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</si>
  <si>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</si>
  <si>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</si>
  <si>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</si>
  <si>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</si>
  <si>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</si>
  <si>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</si>
  <si>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</si>
  <si>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sz val="10"/>
        <color rgb="FF000000"/>
        <rFont val="Arial"/>
        <charset val="134"/>
      </rPr>
      <t>0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申请表：我司提供模板并指导填写；</t>
    </r>
  </si>
  <si>
    <r>
      <rPr>
        <sz val="10"/>
        <color rgb="FF000000"/>
        <rFont val="Arial"/>
        <charset val="134"/>
      </rPr>
      <t>1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产品功能描述：我司提供模板并指导填写；</t>
    </r>
  </si>
  <si>
    <r>
      <rPr>
        <sz val="10"/>
        <color rgb="FF000000"/>
        <rFont val="Arial"/>
        <charset val="134"/>
      </rPr>
      <t>2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机械规格表：我司提供模板并指导填写；</t>
    </r>
  </si>
  <si>
    <r>
      <rPr>
        <sz val="10"/>
        <color rgb="FF000000"/>
        <rFont val="Arial"/>
        <charset val="134"/>
      </rPr>
      <t>3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图纸：</t>
    </r>
  </si>
  <si>
    <r>
      <rPr>
        <sz val="10"/>
        <color rgb="FF000000"/>
        <rFont val="Arial"/>
        <charset val="134"/>
      </rPr>
      <t>3.1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机械外观尺寸图：</t>
    </r>
  </si>
  <si>
    <r>
      <rPr>
        <sz val="10"/>
        <color rgb="FF000000"/>
        <rFont val="Arial"/>
        <charset val="134"/>
      </rPr>
      <t>3.2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机械主要部件图：</t>
    </r>
  </si>
  <si>
    <r>
      <rPr>
        <sz val="10"/>
        <color rgb="FF000000"/>
        <rFont val="Arial"/>
        <charset val="134"/>
      </rPr>
      <t>3.3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机械安全装置及分布图：</t>
    </r>
  </si>
  <si>
    <r>
      <rPr>
        <sz val="10"/>
        <color rgb="FF000000"/>
        <rFont val="Arial"/>
        <charset val="134"/>
      </rPr>
      <t>3.4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设备铭牌图：</t>
    </r>
  </si>
  <si>
    <r>
      <rPr>
        <sz val="10"/>
        <color rgb="FF000000"/>
        <rFont val="Arial"/>
        <charset val="134"/>
      </rPr>
      <t>3.5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电气原理图：</t>
    </r>
  </si>
  <si>
    <r>
      <rPr>
        <sz val="10"/>
        <color rgb="FF000000"/>
        <rFont val="Arial"/>
        <charset val="134"/>
      </rPr>
      <t>3.6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气动原理图：</t>
    </r>
  </si>
  <si>
    <r>
      <rPr>
        <sz val="10"/>
        <color rgb="FF000000"/>
        <rFont val="Arial"/>
        <charset val="134"/>
      </rPr>
      <t>3.7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液压原理图：</t>
    </r>
  </si>
  <si>
    <r>
      <rPr>
        <sz val="10"/>
        <color rgb="FF000000"/>
        <rFont val="Arial"/>
        <charset val="134"/>
      </rPr>
      <t>3.8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机身标识及其分布图；</t>
    </r>
  </si>
  <si>
    <r>
      <rPr>
        <sz val="10"/>
        <color rgb="FF000000"/>
        <rFont val="Arial"/>
        <charset val="134"/>
      </rPr>
      <t>3.9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操作位置示意图；</t>
    </r>
  </si>
  <si>
    <r>
      <rPr>
        <sz val="10"/>
        <color rgb="FF000000"/>
        <rFont val="Arial"/>
        <charset val="134"/>
      </rPr>
      <t>3.10</t>
    </r>
    <r>
      <rPr>
        <sz val="7"/>
        <color rgb="FF000000"/>
        <rFont val="Times New Roman"/>
        <charset val="134"/>
      </rPr>
      <t xml:space="preserve">     </t>
    </r>
    <r>
      <rPr>
        <sz val="10"/>
        <color rgb="FF000000"/>
        <rFont val="宋体"/>
        <charset val="134"/>
      </rPr>
      <t>搬运吊装示意图；</t>
    </r>
  </si>
  <si>
    <r>
      <rPr>
        <sz val="10"/>
        <color rgb="FF000000"/>
        <rFont val="Arial"/>
        <charset val="134"/>
      </rPr>
      <t>3.11</t>
    </r>
    <r>
      <rPr>
        <sz val="7"/>
        <color rgb="FF000000"/>
        <rFont val="Times New Roman"/>
        <charset val="134"/>
      </rPr>
      <t xml:space="preserve">     </t>
    </r>
    <r>
      <rPr>
        <sz val="10"/>
        <color rgb="FF000000"/>
        <rFont val="宋体"/>
        <charset val="134"/>
      </rPr>
      <t>防爆分区图；</t>
    </r>
  </si>
  <si>
    <r>
      <rPr>
        <sz val="10"/>
        <color rgb="FF000000"/>
        <rFont val="Arial"/>
        <charset val="134"/>
      </rPr>
      <t>4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零部件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</t>
    </r>
  </si>
  <si>
    <r>
      <rPr>
        <sz val="10"/>
        <color rgb="FF000000"/>
        <rFont val="Arial"/>
        <charset val="134"/>
      </rPr>
      <t>4.1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机械部件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</si>
  <si>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4.2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电气组件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</si>
  <si>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4.3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气动组件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</si>
  <si>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4.4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液压组件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</si>
  <si>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4.5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防爆组件</t>
    </r>
    <r>
      <rPr>
        <sz val="10"/>
        <color rgb="FF000000"/>
        <rFont val="Arial"/>
        <charset val="134"/>
      </rPr>
      <t>CE-ATEX</t>
    </r>
    <r>
      <rPr>
        <sz val="10"/>
        <color rgb="FF000000"/>
        <rFont val="宋体"/>
        <charset val="134"/>
      </rPr>
      <t>证书（并附上组件表）；</t>
    </r>
  </si>
  <si>
    <r>
      <rPr>
        <sz val="10"/>
        <color rgb="FF000000"/>
        <rFont val="Arial"/>
        <charset val="134"/>
      </rPr>
      <t>5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安全设计计算</t>
    </r>
  </si>
  <si>
    <r>
      <rPr>
        <sz val="10"/>
        <color rgb="FF000000"/>
        <rFont val="Arial"/>
        <charset val="134"/>
      </rPr>
      <t>5.1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电气安全回路可靠性能等级计算</t>
    </r>
  </si>
  <si>
    <r>
      <rPr>
        <sz val="10"/>
        <color rgb="FF000000"/>
        <rFont val="Arial"/>
        <charset val="134"/>
      </rPr>
      <t>5.2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机械安全设计计算书；</t>
    </r>
  </si>
  <si>
    <r>
      <rPr>
        <sz val="10"/>
        <color rgb="FF000000"/>
        <rFont val="Arial"/>
        <charset val="134"/>
      </rPr>
      <t>5.3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防爆结构设计校核书（如有必要）；</t>
    </r>
  </si>
  <si>
    <r>
      <rPr>
        <sz val="10"/>
        <color rgb="FF000000"/>
        <rFont val="Arial"/>
        <charset val="134"/>
      </rPr>
      <t>6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材质证明、测试报告：第</t>
    </r>
    <r>
      <rPr>
        <sz val="10"/>
        <color rgb="FF000000"/>
        <rFont val="Arial"/>
        <charset val="134"/>
      </rPr>
      <t>5.2</t>
    </r>
    <r>
      <rPr>
        <sz val="10"/>
        <color rgb="FF000000"/>
        <rFont val="宋体"/>
        <charset val="134"/>
      </rPr>
      <t>条的计算中涉及到的数据文件；</t>
    </r>
  </si>
  <si>
    <r>
      <rPr>
        <sz val="10"/>
        <color rgb="FF000000"/>
        <rFont val="Arial"/>
        <charset val="134"/>
      </rPr>
      <t>7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安全相关部件数据表：第</t>
    </r>
    <r>
      <rPr>
        <sz val="10"/>
        <color rgb="FF000000"/>
        <rFont val="Arial"/>
        <charset val="134"/>
      </rPr>
      <t>5.1</t>
    </r>
    <r>
      <rPr>
        <sz val="10"/>
        <color rgb="FF000000"/>
        <rFont val="宋体"/>
        <charset val="134"/>
      </rPr>
      <t>条的计算中涉及到的数据文件；</t>
    </r>
  </si>
  <si>
    <r>
      <rPr>
        <sz val="10"/>
        <color rgb="FF000000"/>
        <rFont val="Arial"/>
        <charset val="134"/>
      </rPr>
      <t>8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设备说明书；</t>
    </r>
  </si>
  <si>
    <r>
      <rPr>
        <sz val="10"/>
        <color rgb="FF000000"/>
        <rFont val="Arial"/>
        <charset val="134"/>
      </rPr>
      <t>9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风险分析报告：我司提供模板并指导填写；</t>
    </r>
  </si>
  <si>
    <r>
      <rPr>
        <sz val="10"/>
        <color rgb="FF000000"/>
        <rFont val="Arial"/>
        <charset val="134"/>
      </rPr>
      <t>10</t>
    </r>
    <r>
      <rPr>
        <sz val="7"/>
        <color rgb="FF000000"/>
        <rFont val="Times New Roman"/>
        <charset val="134"/>
      </rPr>
      <t xml:space="preserve">      </t>
    </r>
    <r>
      <rPr>
        <sz val="10"/>
        <color rgb="FF000000"/>
        <rFont val="宋体"/>
        <charset val="134"/>
      </rPr>
      <t>质量管理体系证书：</t>
    </r>
    <r>
      <rPr>
        <sz val="10"/>
        <color rgb="FF000000"/>
        <rFont val="Arial"/>
        <charset val="134"/>
      </rPr>
      <t>ISO 9001</t>
    </r>
  </si>
  <si>
    <r>
      <rPr>
        <sz val="10"/>
        <color rgb="FF000000"/>
        <rFont val="Arial"/>
        <charset val="134"/>
      </rPr>
      <t>11</t>
    </r>
    <r>
      <rPr>
        <sz val="7"/>
        <color rgb="FF000000"/>
        <rFont val="Times New Roman"/>
        <charset val="134"/>
      </rPr>
      <t xml:space="preserve">      </t>
    </r>
    <r>
      <rPr>
        <sz val="10"/>
        <color rgb="FF000000"/>
        <rFont val="宋体"/>
        <charset val="134"/>
      </rPr>
      <t>一致性声明：我司提供模板并指导填写；</t>
    </r>
  </si>
  <si>
    <t>备注：</t>
  </si>
  <si>
    <r>
      <rPr>
        <sz val="10"/>
        <color rgb="FF000000"/>
        <rFont val="Arial"/>
        <charset val="134"/>
      </rPr>
      <t>-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以上所有资料均应提供英文（可以为中英文对照）</t>
    </r>
  </si>
  <si>
    <r>
      <rPr>
        <sz val="10"/>
        <color rgb="FF000000"/>
        <rFont val="Arial"/>
        <charset val="134"/>
      </rPr>
      <t>-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没有英文版本的测试报告或证书原件，可附上</t>
    </r>
    <r>
      <rPr>
        <sz val="10"/>
        <color rgb="FF000000"/>
        <rFont val="Arial"/>
        <charset val="134"/>
      </rPr>
      <t>Word</t>
    </r>
    <r>
      <rPr>
        <sz val="10"/>
        <color rgb="FF000000"/>
        <rFont val="宋体"/>
        <charset val="134"/>
      </rPr>
      <t>版本的英文翻译件（翻译件不需要签字盖章）；</t>
    </r>
  </si>
  <si>
    <r>
      <rPr>
        <b/>
        <sz val="12"/>
        <color rgb="FF000000"/>
        <rFont val="微软雅黑"/>
        <charset val="134"/>
      </rPr>
      <t>s</t>
    </r>
    <r>
      <rPr>
        <b/>
        <sz val="12"/>
        <color rgb="FF000000"/>
        <rFont val="微软雅黑"/>
        <charset val="134"/>
      </rPr>
      <t>andwich连续氢化实施计划表</t>
    </r>
  </si>
  <si>
    <t>Resourse Note</t>
  </si>
  <si>
    <t>时间 Time line</t>
  </si>
  <si>
    <t>month</t>
  </si>
  <si>
    <t>工作事项 work item</t>
  </si>
  <si>
    <t>负责部门</t>
  </si>
  <si>
    <t>Design</t>
  </si>
  <si>
    <t>HAZOP （support resource in grey）</t>
  </si>
  <si>
    <t>UK</t>
  </si>
  <si>
    <t>hazop 下半部分
PID和泵的参数表、数据表 -- 提采购（仪表和自控阀门已经提交采购（采购收集需求信息与Keith确认，然后确定厂家和型号收集下，UK最终确认）；泵还没提，静设备还没提）
layout初稿，共同讨论
设备数据表、设备图 、反应器设备数据表（1.19 聂博） -- 静设备结构（1.23更新好 赵工）
关键设备信息（难点在基于国外规范要求的需求，需要Keith他们提供或反复沟通）
CEPS操作
输出：静设备最终结构设计确定
布局设计终稿
管路设计 -- PID的终稿、layout 终稿、泵和仪表静设备采购信息 -- 3D图 -- 采购 （采购信息确定之后 2周出3D）
结构设计 -- 强度计算（看SW需求？）CFCT无法，要找第三方
控制柜位置确定、采购</t>
  </si>
  <si>
    <t>PI&amp;D</t>
  </si>
  <si>
    <t>IEPE/UK</t>
  </si>
  <si>
    <t>go through the document feedbacks before Tuesday
book the schedule</t>
  </si>
  <si>
    <t>Equipment datasheets</t>
  </si>
  <si>
    <t>Instrument datasheets</t>
  </si>
  <si>
    <t>Interlock logic</t>
  </si>
  <si>
    <t>Pump specification sheet</t>
  </si>
  <si>
    <t>Operating instructions</t>
  </si>
  <si>
    <t>Preliminary equipment layout</t>
  </si>
  <si>
    <t>CFCT</t>
  </si>
  <si>
    <r>
      <t>structural design of static equipment（pink）</t>
    </r>
    <r>
      <rPr>
        <sz val="14"/>
        <color rgb="FF000000"/>
        <rFont val="微软雅黑"/>
        <charset val="134"/>
      </rPr>
      <t>？</t>
    </r>
  </si>
  <si>
    <t>IEPE/CFCT/UK</t>
  </si>
  <si>
    <t>Certified code agree, "PED" pressure equipment qualificaiton, need someone(验收人) to comfirm；”In the cerification process“, fabric company CE</t>
  </si>
  <si>
    <t>Reactor column specification sheet</t>
  </si>
  <si>
    <t>IEPE/CFCT</t>
  </si>
  <si>
    <t>Procurement information confirmation(pump\insturment\equipment schedule)</t>
  </si>
  <si>
    <t>CFCT/UK</t>
  </si>
  <si>
    <t>Skid</t>
  </si>
  <si>
    <t>3D modelling (procurement feedback; UK confirmation of equipment layout)</t>
  </si>
  <si>
    <t>3D modelling need to comfirm piping specs</t>
  </si>
  <si>
    <t>BOM</t>
  </si>
  <si>
    <t>Fabrication drawings</t>
  </si>
  <si>
    <t>Engineering procurement (valves &amp; instruments, static equipment, pumps, piping and fittings; within the skid)</t>
  </si>
  <si>
    <t>Control system procurement and configuration (Hardware interlock\PLC configuration\interface signals with other systems,coms to PCS) need URS; need to consider the captiable to V14 and V16</t>
  </si>
  <si>
    <t>CFCT/Dezhi</t>
  </si>
  <si>
    <t>Equipment fabrication, assembly and debugging</t>
  </si>
  <si>
    <t>Integrated factory acceptance (FAT)</t>
  </si>
  <si>
    <t>UK/CFCT/IEPE</t>
  </si>
  <si>
    <t>CE certification (individual equipmen purchesed  + control pannel and whole-skid certification per Notified Body requirements); full documentation completed</t>
  </si>
  <si>
    <t>Export formalities, transport inspection/certification and packing</t>
  </si>
  <si>
    <t>Import/Export</t>
  </si>
  <si>
    <t>Export shipment (Europe)</t>
  </si>
  <si>
    <t>On Site Engineering Design</t>
  </si>
  <si>
    <t>PID</t>
  </si>
  <si>
    <t>UK/IEPE</t>
  </si>
  <si>
    <t>Engineering design documents</t>
  </si>
  <si>
    <t>HAZOP</t>
  </si>
  <si>
    <t>Detailed design</t>
  </si>
  <si>
    <t>Procurement</t>
  </si>
  <si>
    <t>On Site Installing</t>
  </si>
  <si>
    <t>Off-skid/peripheral installation</t>
  </si>
  <si>
    <r>
      <rPr>
        <sz val="10"/>
        <color rgb="FF000000"/>
        <rFont val="微软雅黑"/>
        <charset val="134"/>
      </rPr>
      <t>U</t>
    </r>
    <r>
      <rPr>
        <sz val="10"/>
        <color rgb="FF000000"/>
        <rFont val="微软雅黑"/>
        <charset val="134"/>
      </rPr>
      <t xml:space="preserve">K </t>
    </r>
  </si>
  <si>
    <t>Skid installation</t>
  </si>
  <si>
    <r>
      <rPr>
        <sz val="10"/>
        <color rgb="FF000000"/>
        <rFont val="微软雅黑"/>
        <charset val="134"/>
      </rPr>
      <t>U</t>
    </r>
    <r>
      <rPr>
        <sz val="10"/>
        <color rgb="FF000000"/>
        <rFont val="微软雅黑"/>
        <charset val="134"/>
      </rPr>
      <t>K</t>
    </r>
  </si>
  <si>
    <t>Mechanical, electrical, instrumentation &amp; piping (MEIP) installation</t>
  </si>
  <si>
    <t>Qualification &amp; acceptance testing (DQ / IQ / OQ)</t>
  </si>
  <si>
    <t>Commissioning and start-up</t>
  </si>
  <si>
    <t>hazop 下半部分</t>
  </si>
  <si>
    <t>PID和泵的参数表、数据表 -- 提采购（仪表和自控阀门已经提交采购（采购收集需求信息与Keith确认，然后确定厂家和型号收集下给他们过一下）；泵还没提，静设备还没提）</t>
  </si>
  <si>
    <t>layout SW初稿，共同讨论</t>
  </si>
  <si>
    <t>设备数据表、设备图 、反应器设备数据表（1.19 聂博） -- 静设备结构（1.23更新好 赵工）</t>
  </si>
  <si>
    <t>关键设备信息（难点在基于国外规范要求的需求，需要Keith他们提供或反复沟通）</t>
  </si>
  <si>
    <t>CEPS操作</t>
  </si>
  <si>
    <t>输出：静设备最终结构设计确定</t>
  </si>
  <si>
    <t>布局设计终稿</t>
  </si>
  <si>
    <t>采购设备信息（给到SW确认）（Keith限定条件 -- IEPE（聂博）和CFCT找供应商沟通；CFCT主导发起（主设备赵工、其他仪表类范工）时间2周）</t>
  </si>
  <si>
    <t>管路设计 -- PID的终稿、layout 终稿、泵和仪表静设备采购信息 -- 3D图 -- 采购 （采购信息确定之后 2周出3D）</t>
  </si>
  <si>
    <t>结构设计 -- 强度计算（看SW需求？）CFCT无法，要找第三方</t>
  </si>
  <si>
    <t>控制柜位置确定、采购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</si>
</sst>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\¥\-#,##0"/>
    <numFmt numFmtId="177" formatCode="[$€-2]\ #,##0.00;[$€-2]\ \-#,##0.00"/>
    <numFmt numFmtId="178" formatCode="[$£-809]#,##0;\-[$£-809]#,##0"/>
    <numFmt numFmtId="179" formatCode="General&quot; 万RMB&quot;"/>
    <numFmt numFmtId="180" formatCode="General&quot; M$&quot;"/>
    <numFmt numFmtId="181" formatCode="&quot;1USD=&quot;###0.00&quot;RMB&quot;"/>
    <numFmt numFmtId="182" formatCode="General&quot; M£&quot;"/>
    <numFmt numFmtId="183" formatCode="&quot;1£=&quot;###0.00&quot;RMB&quot;"/>
  </numFmts>
  <fonts count="39">
    <font>
      <sz val="12"/>
      <color theme="1"/>
      <name val="Calibri"/>
      <charset val="134"/>
      <scheme val="minor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rgb="FF000000"/>
      <name val="等线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70C0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rgb="FF00B0F0"/>
      <name val="微软雅黑"/>
      <charset val="134"/>
    </font>
    <font>
      <sz val="14"/>
      <color rgb="FF000000"/>
      <name val="微软雅黑"/>
      <charset val="134"/>
    </font>
  </fonts>
  <fills count="52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0" borderId="3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1" borderId="37" applyNumberFormat="0" applyAlignment="0" applyProtection="0">
      <alignment vertical="center"/>
    </xf>
    <xf numFmtId="0" fontId="25" fillId="32" borderId="38" applyNumberFormat="0" applyAlignment="0" applyProtection="0">
      <alignment vertical="center"/>
    </xf>
    <xf numFmtId="0" fontId="26" fillId="32" borderId="37" applyNumberFormat="0" applyAlignment="0" applyProtection="0">
      <alignment vertical="center"/>
    </xf>
    <xf numFmtId="0" fontId="27" fillId="33" borderId="39" applyNumberFormat="0" applyAlignment="0" applyProtection="0">
      <alignment vertical="center"/>
    </xf>
    <xf numFmtId="0" fontId="28" fillId="0" borderId="40" applyNumberFormat="0" applyFill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18" borderId="16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18" borderId="9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2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0" fillId="20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7" xfId="0" applyFill="1" applyBorder="1">
      <alignment vertical="center"/>
    </xf>
    <xf numFmtId="0" fontId="1" fillId="21" borderId="9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0" fillId="22" borderId="22" xfId="0" applyFill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0" fillId="22" borderId="2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2" xfId="0" applyFill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23" borderId="2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4" borderId="2" xfId="0" applyFill="1" applyBorder="1">
      <alignment vertical="center"/>
    </xf>
    <xf numFmtId="0" fontId="0" fillId="12" borderId="2" xfId="0" applyFill="1" applyBorder="1">
      <alignment vertical="center"/>
    </xf>
    <xf numFmtId="0" fontId="7" fillId="0" borderId="0" xfId="0" applyFont="1">
      <alignment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5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2" fillId="25" borderId="25" xfId="0" applyFont="1" applyFill="1" applyBorder="1" applyAlignment="1">
      <alignment horizontal="center" vertical="center" wrapText="1"/>
    </xf>
    <xf numFmtId="0" fontId="2" fillId="25" borderId="26" xfId="0" applyFont="1" applyFill="1" applyBorder="1" applyAlignment="1">
      <alignment horizontal="center" vertical="center" wrapText="1"/>
    </xf>
    <xf numFmtId="0" fontId="3" fillId="25" borderId="27" xfId="0" applyFont="1" applyFill="1" applyBorder="1" applyAlignment="1">
      <alignment horizontal="center" vertical="center" wrapText="1"/>
    </xf>
    <xf numFmtId="0" fontId="3" fillId="25" borderId="28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176" fontId="13" fillId="27" borderId="13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2" fillId="28" borderId="28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77" fontId="1" fillId="0" borderId="0" xfId="0" applyNumberFormat="1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" fillId="25" borderId="32" xfId="0" applyFont="1" applyFill="1" applyBorder="1" applyAlignment="1">
      <alignment horizontal="center" vertical="center" wrapText="1"/>
    </xf>
    <xf numFmtId="176" fontId="13" fillId="0" borderId="26" xfId="0" applyNumberFormat="1" applyFont="1" applyBorder="1" applyAlignment="1">
      <alignment horizontal="center" vertical="center" wrapText="1"/>
    </xf>
    <xf numFmtId="176" fontId="13" fillId="26" borderId="26" xfId="0" applyNumberFormat="1" applyFont="1" applyFill="1" applyBorder="1" applyAlignment="1">
      <alignment horizontal="right" vertical="center" wrapText="1"/>
    </xf>
    <xf numFmtId="176" fontId="1" fillId="0" borderId="26" xfId="0" applyNumberFormat="1" applyFont="1" applyBorder="1" applyAlignment="1">
      <alignment horizontal="right" vertical="center" wrapText="1"/>
    </xf>
    <xf numFmtId="176" fontId="1" fillId="0" borderId="31" xfId="0" applyNumberFormat="1" applyFont="1" applyBorder="1" applyAlignment="1">
      <alignment horizontal="left" vertical="center" wrapText="1"/>
    </xf>
    <xf numFmtId="176" fontId="13" fillId="0" borderId="13" xfId="0" applyNumberFormat="1" applyFont="1" applyBorder="1" applyAlignment="1">
      <alignment horizontal="center" vertical="center" wrapText="1"/>
    </xf>
    <xf numFmtId="176" fontId="13" fillId="26" borderId="13" xfId="0" applyNumberFormat="1" applyFont="1" applyFill="1" applyBorder="1" applyAlignment="1">
      <alignment horizontal="right" vertical="center" wrapText="1"/>
    </xf>
    <xf numFmtId="176" fontId="1" fillId="0" borderId="13" xfId="0" applyNumberFormat="1" applyFont="1" applyBorder="1" applyAlignment="1">
      <alignment horizontal="right" vertical="center" wrapText="1"/>
    </xf>
    <xf numFmtId="176" fontId="1" fillId="0" borderId="33" xfId="0" applyNumberFormat="1" applyFont="1" applyBorder="1" applyAlignment="1">
      <alignment horizontal="left" vertical="center" wrapText="1"/>
    </xf>
    <xf numFmtId="176" fontId="13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right" vertical="center" wrapText="1"/>
    </xf>
    <xf numFmtId="176" fontId="1" fillId="0" borderId="33" xfId="0" applyNumberFormat="1" applyFont="1" applyBorder="1" applyAlignment="1">
      <alignment horizontal="center" vertical="center" wrapText="1"/>
    </xf>
    <xf numFmtId="176" fontId="13" fillId="0" borderId="33" xfId="0" applyNumberFormat="1" applyFont="1" applyBorder="1" applyAlignment="1">
      <alignment horizontal="center" vertical="center" wrapText="1"/>
    </xf>
    <xf numFmtId="176" fontId="6" fillId="0" borderId="33" xfId="0" applyNumberFormat="1" applyFont="1" applyBorder="1" applyAlignment="1">
      <alignment horizontal="left" vertical="center" wrapText="1"/>
    </xf>
    <xf numFmtId="176" fontId="13" fillId="0" borderId="13" xfId="0" applyNumberFormat="1" applyFont="1" applyBorder="1" applyAlignment="1">
      <alignment horizontal="right" vertical="center" wrapText="1"/>
    </xf>
    <xf numFmtId="176" fontId="1" fillId="23" borderId="4" xfId="0" applyNumberFormat="1" applyFont="1" applyFill="1" applyBorder="1" applyAlignment="1">
      <alignment horizontal="right" vertical="center" wrapText="1"/>
    </xf>
    <xf numFmtId="176" fontId="1" fillId="2" borderId="33" xfId="0" applyNumberFormat="1" applyFont="1" applyFill="1" applyBorder="1" applyAlignment="1">
      <alignment horizontal="left" vertical="center" wrapText="1"/>
    </xf>
    <xf numFmtId="176" fontId="6" fillId="0" borderId="4" xfId="0" applyNumberFormat="1" applyFont="1" applyBorder="1" applyAlignment="1">
      <alignment horizontal="right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176" fontId="1" fillId="0" borderId="9" xfId="0" applyNumberFormat="1" applyFont="1" applyBorder="1" applyAlignment="1">
      <alignment horizontal="right" vertical="center" wrapText="1"/>
    </xf>
    <xf numFmtId="0" fontId="1" fillId="0" borderId="33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176" fontId="13" fillId="29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1" fillId="22" borderId="28" xfId="0" applyNumberFormat="1" applyFont="1" applyFill="1" applyBorder="1" applyAlignment="1">
      <alignment horizontal="right" vertical="center" wrapText="1"/>
    </xf>
    <xf numFmtId="178" fontId="1" fillId="0" borderId="32" xfId="0" applyNumberFormat="1" applyFont="1" applyBorder="1" applyAlignment="1">
      <alignment horizontal="right"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right" vertical="center" wrapText="1"/>
    </xf>
    <xf numFmtId="180" fontId="1" fillId="0" borderId="4" xfId="0" applyNumberFormat="1" applyFont="1" applyBorder="1" applyAlignment="1">
      <alignment horizontal="right" vertical="center" wrapText="1"/>
    </xf>
    <xf numFmtId="181" fontId="1" fillId="26" borderId="4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182" fontId="1" fillId="0" borderId="4" xfId="0" applyNumberFormat="1" applyFont="1" applyBorder="1" applyAlignment="1">
      <alignment horizontal="right" vertical="center" wrapText="1"/>
    </xf>
    <xf numFmtId="183" fontId="1" fillId="26" borderId="4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</xdr:row>
      <xdr:rowOff>0</xdr:rowOff>
    </xdr:from>
    <xdr:ext cx="3886023" cy="53168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2625" y="400050"/>
          <a:ext cx="3885565" cy="53162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59"/>
  <sheetViews>
    <sheetView zoomScale="70" zoomScaleNormal="70" workbookViewId="0">
      <pane xSplit="7" ySplit="2" topLeftCell="J36" activePane="bottomRight" state="frozen"/>
      <selection/>
      <selection pane="topRight"/>
      <selection pane="bottomLeft"/>
      <selection pane="bottomRight" activeCell="E47" sqref="E47"/>
    </sheetView>
  </sheetViews>
  <sheetFormatPr defaultColWidth="8.875" defaultRowHeight="39.95" customHeight="1"/>
  <cols>
    <col min="1" max="1" width="5.625" style="130" customWidth="1"/>
    <col min="2" max="2" width="23" style="130" customWidth="1"/>
    <col min="3" max="3" width="25.875" style="131" customWidth="1"/>
    <col min="4" max="4" width="52.625" style="131" customWidth="1"/>
    <col min="5" max="5" width="8.375" style="131" customWidth="1"/>
    <col min="6" max="6" width="7.375" style="131" customWidth="1"/>
    <col min="7" max="7" width="28.125" style="131" customWidth="1"/>
    <col min="8" max="8" width="12.5" style="131" customWidth="1"/>
    <col min="9" max="9" width="12.625" style="128" customWidth="1"/>
    <col min="10" max="11" width="13.625" style="132" customWidth="1"/>
    <col min="12" max="12" width="20.625" style="133" customWidth="1"/>
    <col min="13" max="13" width="20.625" style="130" customWidth="1"/>
    <col min="14" max="25" width="8.875" style="130"/>
    <col min="26" max="35" width="8.875" style="134"/>
  </cols>
  <sheetData>
    <row r="1" customHeight="1" spans="1:12">
      <c r="A1" s="135" t="s">
        <v>0</v>
      </c>
      <c r="B1" s="136"/>
      <c r="C1" s="136"/>
      <c r="D1" s="136"/>
      <c r="E1" s="136"/>
      <c r="F1" s="136"/>
      <c r="G1" s="136"/>
      <c r="H1" s="136"/>
      <c r="I1" s="157" t="s">
        <v>1</v>
      </c>
      <c r="J1" s="157"/>
      <c r="K1" s="157"/>
      <c r="L1" s="158"/>
    </row>
    <row r="2" ht="44.45" customHeight="1" spans="1:13">
      <c r="A2" s="137" t="s">
        <v>2</v>
      </c>
      <c r="B2" s="138" t="s">
        <v>3</v>
      </c>
      <c r="C2" s="138" t="s">
        <v>4</v>
      </c>
      <c r="D2" s="138" t="s">
        <v>5</v>
      </c>
      <c r="E2" s="138" t="s">
        <v>6</v>
      </c>
      <c r="F2" s="138" t="s">
        <v>7</v>
      </c>
      <c r="G2" s="138" t="s">
        <v>8</v>
      </c>
      <c r="H2" s="138" t="s">
        <v>9</v>
      </c>
      <c r="I2" s="138" t="s">
        <v>10</v>
      </c>
      <c r="J2" s="138" t="s">
        <v>11</v>
      </c>
      <c r="K2" s="138" t="s">
        <v>12</v>
      </c>
      <c r="L2" s="159" t="s">
        <v>9</v>
      </c>
      <c r="M2" s="130" t="s">
        <v>13</v>
      </c>
    </row>
    <row r="3" ht="51" customHeight="1" spans="1:13">
      <c r="A3" s="139">
        <f t="shared" ref="A3:A44" si="0">ROW()-2</f>
        <v>1</v>
      </c>
      <c r="B3" s="140" t="s">
        <v>14</v>
      </c>
      <c r="C3" s="140" t="s">
        <v>15</v>
      </c>
      <c r="D3" s="141" t="s">
        <v>16</v>
      </c>
      <c r="E3" s="140">
        <v>1</v>
      </c>
      <c r="F3" s="140" t="s">
        <v>17</v>
      </c>
      <c r="G3" s="140" t="s">
        <v>18</v>
      </c>
      <c r="H3" s="140" t="s">
        <v>19</v>
      </c>
      <c r="I3" s="160">
        <v>36000</v>
      </c>
      <c r="J3" s="161"/>
      <c r="K3" s="162">
        <f t="shared" ref="K3:K14" si="1">I3*E3+J3</f>
        <v>36000</v>
      </c>
      <c r="L3" s="163"/>
      <c r="M3" s="130" t="s">
        <v>20</v>
      </c>
    </row>
    <row r="4" ht="54" customHeight="1" spans="1:13">
      <c r="A4" s="142">
        <f t="shared" si="0"/>
        <v>2</v>
      </c>
      <c r="B4" s="143"/>
      <c r="C4" s="144" t="s">
        <v>15</v>
      </c>
      <c r="D4" s="141" t="s">
        <v>21</v>
      </c>
      <c r="E4" s="144">
        <v>1</v>
      </c>
      <c r="F4" s="144" t="s">
        <v>17</v>
      </c>
      <c r="G4" s="144" t="s">
        <v>18</v>
      </c>
      <c r="H4" s="144" t="s">
        <v>19</v>
      </c>
      <c r="I4" s="164">
        <v>36000</v>
      </c>
      <c r="J4" s="165"/>
      <c r="K4" s="166">
        <f t="shared" si="1"/>
        <v>36000</v>
      </c>
      <c r="L4" s="167"/>
      <c r="M4" s="130" t="s">
        <v>20</v>
      </c>
    </row>
    <row r="5" customHeight="1" spans="1:13">
      <c r="A5" s="142">
        <f t="shared" si="0"/>
        <v>3</v>
      </c>
      <c r="B5" s="143"/>
      <c r="C5" s="145" t="s">
        <v>22</v>
      </c>
      <c r="D5" s="141" t="s">
        <v>23</v>
      </c>
      <c r="E5" s="144">
        <v>1</v>
      </c>
      <c r="F5" s="144" t="s">
        <v>17</v>
      </c>
      <c r="G5" s="144" t="s">
        <v>24</v>
      </c>
      <c r="H5" s="144" t="s">
        <v>19</v>
      </c>
      <c r="I5" s="164">
        <v>35000</v>
      </c>
      <c r="J5" s="165"/>
      <c r="K5" s="166">
        <f t="shared" si="1"/>
        <v>35000</v>
      </c>
      <c r="L5" s="167"/>
      <c r="M5" s="130" t="s">
        <v>20</v>
      </c>
    </row>
    <row r="6" ht="52.5" customHeight="1" spans="1:13">
      <c r="A6" s="142">
        <f t="shared" si="0"/>
        <v>4</v>
      </c>
      <c r="B6" s="143"/>
      <c r="C6" s="145" t="s">
        <v>25</v>
      </c>
      <c r="D6" s="141" t="s">
        <v>26</v>
      </c>
      <c r="E6" s="143">
        <v>1</v>
      </c>
      <c r="F6" s="143" t="s">
        <v>17</v>
      </c>
      <c r="G6" s="143" t="s">
        <v>27</v>
      </c>
      <c r="H6" s="143" t="s">
        <v>19</v>
      </c>
      <c r="I6" s="168">
        <v>165000</v>
      </c>
      <c r="J6" s="165"/>
      <c r="K6" s="169">
        <f t="shared" si="1"/>
        <v>165000</v>
      </c>
      <c r="L6" s="170" t="s">
        <v>28</v>
      </c>
      <c r="M6" s="130" t="s">
        <v>20</v>
      </c>
    </row>
    <row r="7" ht="59.25" customHeight="1" spans="1:13">
      <c r="A7" s="142">
        <f t="shared" si="0"/>
        <v>5</v>
      </c>
      <c r="B7" s="143"/>
      <c r="C7" s="143" t="s">
        <v>29</v>
      </c>
      <c r="D7" s="141" t="s">
        <v>30</v>
      </c>
      <c r="E7" s="143">
        <v>1</v>
      </c>
      <c r="F7" s="143" t="s">
        <v>17</v>
      </c>
      <c r="G7" s="143" t="s">
        <v>27</v>
      </c>
      <c r="H7" s="143" t="s">
        <v>19</v>
      </c>
      <c r="I7" s="168">
        <v>150000</v>
      </c>
      <c r="J7" s="165"/>
      <c r="K7" s="169">
        <f t="shared" si="1"/>
        <v>150000</v>
      </c>
      <c r="L7" s="171" t="s">
        <v>31</v>
      </c>
      <c r="M7" s="130" t="s">
        <v>20</v>
      </c>
    </row>
    <row r="8" ht="59.25" customHeight="1" spans="1:13">
      <c r="A8" s="142">
        <f t="shared" si="0"/>
        <v>6</v>
      </c>
      <c r="B8" s="143"/>
      <c r="C8" s="143" t="s">
        <v>32</v>
      </c>
      <c r="D8" s="141" t="s">
        <v>33</v>
      </c>
      <c r="E8" s="143">
        <v>1</v>
      </c>
      <c r="F8" s="143" t="s">
        <v>17</v>
      </c>
      <c r="G8" s="143" t="s">
        <v>27</v>
      </c>
      <c r="H8" s="143" t="s">
        <v>19</v>
      </c>
      <c r="I8" s="168">
        <v>150000</v>
      </c>
      <c r="J8" s="165"/>
      <c r="K8" s="169">
        <f t="shared" si="1"/>
        <v>150000</v>
      </c>
      <c r="L8" s="171" t="s">
        <v>31</v>
      </c>
      <c r="M8" s="130" t="s">
        <v>20</v>
      </c>
    </row>
    <row r="9" customHeight="1" spans="1:13">
      <c r="A9" s="142">
        <f t="shared" si="0"/>
        <v>7</v>
      </c>
      <c r="B9" s="143"/>
      <c r="C9" s="143" t="s">
        <v>34</v>
      </c>
      <c r="D9" s="141" t="s">
        <v>35</v>
      </c>
      <c r="E9" s="143">
        <v>1</v>
      </c>
      <c r="F9" s="143" t="s">
        <v>17</v>
      </c>
      <c r="G9" s="143" t="s">
        <v>36</v>
      </c>
      <c r="H9" s="143" t="s">
        <v>19</v>
      </c>
      <c r="I9" s="168">
        <v>75000</v>
      </c>
      <c r="J9" s="165"/>
      <c r="K9" s="169">
        <f t="shared" si="1"/>
        <v>75000</v>
      </c>
      <c r="L9" s="172"/>
      <c r="M9" s="130" t="s">
        <v>20</v>
      </c>
    </row>
    <row r="10" customHeight="1" spans="1:13">
      <c r="A10" s="142">
        <f t="shared" si="0"/>
        <v>8</v>
      </c>
      <c r="B10" s="143"/>
      <c r="C10" s="143" t="s">
        <v>37</v>
      </c>
      <c r="D10" s="141" t="s">
        <v>38</v>
      </c>
      <c r="E10" s="143">
        <v>1</v>
      </c>
      <c r="F10" s="143" t="s">
        <v>17</v>
      </c>
      <c r="G10" s="143" t="s">
        <v>39</v>
      </c>
      <c r="H10" s="143" t="s">
        <v>19</v>
      </c>
      <c r="I10" s="168">
        <v>68000</v>
      </c>
      <c r="J10" s="165"/>
      <c r="K10" s="169">
        <f t="shared" si="1"/>
        <v>68000</v>
      </c>
      <c r="L10" s="172"/>
      <c r="M10" s="130" t="s">
        <v>20</v>
      </c>
    </row>
    <row r="11" customHeight="1" spans="1:13">
      <c r="A11" s="142">
        <f t="shared" si="0"/>
        <v>9</v>
      </c>
      <c r="B11" s="143"/>
      <c r="C11" s="143" t="s">
        <v>40</v>
      </c>
      <c r="D11" s="141" t="s">
        <v>41</v>
      </c>
      <c r="E11" s="143">
        <v>1</v>
      </c>
      <c r="F11" s="143" t="s">
        <v>17</v>
      </c>
      <c r="G11" s="143" t="s">
        <v>42</v>
      </c>
      <c r="H11" s="143" t="s">
        <v>19</v>
      </c>
      <c r="I11" s="168">
        <v>25000</v>
      </c>
      <c r="J11" s="165"/>
      <c r="K11" s="169">
        <f t="shared" si="1"/>
        <v>25000</v>
      </c>
      <c r="L11" s="172"/>
      <c r="M11" s="130" t="s">
        <v>20</v>
      </c>
    </row>
    <row r="12" ht="55.5" customHeight="1" spans="1:13">
      <c r="A12" s="142">
        <f t="shared" si="0"/>
        <v>10</v>
      </c>
      <c r="B12" s="143"/>
      <c r="C12" s="144" t="s">
        <v>43</v>
      </c>
      <c r="D12" s="141" t="s">
        <v>16</v>
      </c>
      <c r="E12" s="144">
        <v>1</v>
      </c>
      <c r="F12" s="144" t="s">
        <v>17</v>
      </c>
      <c r="G12" s="144" t="s">
        <v>44</v>
      </c>
      <c r="H12" s="144" t="s">
        <v>19</v>
      </c>
      <c r="I12" s="164">
        <v>36000</v>
      </c>
      <c r="J12" s="165"/>
      <c r="K12" s="166">
        <f t="shared" si="1"/>
        <v>36000</v>
      </c>
      <c r="L12" s="172"/>
      <c r="M12" s="130" t="s">
        <v>20</v>
      </c>
    </row>
    <row r="13" ht="55.5" customHeight="1" spans="1:13">
      <c r="A13" s="142">
        <f t="shared" si="0"/>
        <v>11</v>
      </c>
      <c r="B13" s="143"/>
      <c r="C13" s="144" t="s">
        <v>45</v>
      </c>
      <c r="D13" s="141"/>
      <c r="E13" s="144">
        <v>1</v>
      </c>
      <c r="F13" s="144" t="s">
        <v>46</v>
      </c>
      <c r="G13" s="144" t="s">
        <v>47</v>
      </c>
      <c r="H13" s="144"/>
      <c r="I13" s="164">
        <v>170000</v>
      </c>
      <c r="J13" s="173"/>
      <c r="K13" s="166">
        <f t="shared" si="1"/>
        <v>170000</v>
      </c>
      <c r="L13" s="172"/>
      <c r="M13" s="130" t="s">
        <v>20</v>
      </c>
    </row>
    <row r="14" ht="55.5" customHeight="1" spans="1:13">
      <c r="A14" s="142">
        <f t="shared" si="0"/>
        <v>12</v>
      </c>
      <c r="B14" s="143"/>
      <c r="C14" s="144" t="s">
        <v>48</v>
      </c>
      <c r="D14" s="141"/>
      <c r="E14" s="144">
        <v>1</v>
      </c>
      <c r="F14" s="144" t="s">
        <v>46</v>
      </c>
      <c r="G14" s="144" t="s">
        <v>49</v>
      </c>
      <c r="H14" s="144"/>
      <c r="I14" s="150">
        <v>50000</v>
      </c>
      <c r="J14" s="173"/>
      <c r="K14" s="166">
        <f t="shared" si="1"/>
        <v>50000</v>
      </c>
      <c r="L14" s="172"/>
      <c r="M14" s="130" t="s">
        <v>20</v>
      </c>
    </row>
    <row r="15" customHeight="1" spans="1:12">
      <c r="A15" s="142">
        <f t="shared" si="0"/>
        <v>13</v>
      </c>
      <c r="B15" s="143"/>
      <c r="C15" s="146" t="s">
        <v>50</v>
      </c>
      <c r="D15" s="146"/>
      <c r="E15" s="146"/>
      <c r="F15" s="146"/>
      <c r="G15" s="146"/>
      <c r="H15" s="146"/>
      <c r="I15" s="146"/>
      <c r="J15" s="169">
        <f>SUM(J3:J14)</f>
        <v>0</v>
      </c>
      <c r="K15" s="174">
        <f>SUM(K3:K14)</f>
        <v>996000</v>
      </c>
      <c r="L15" s="175"/>
    </row>
    <row r="16" ht="50.1" customHeight="1" spans="1:13">
      <c r="A16" s="142">
        <f t="shared" si="0"/>
        <v>14</v>
      </c>
      <c r="B16" s="143" t="s">
        <v>51</v>
      </c>
      <c r="C16" s="143" t="s">
        <v>52</v>
      </c>
      <c r="D16" s="141" t="s">
        <v>53</v>
      </c>
      <c r="E16" s="147">
        <v>2</v>
      </c>
      <c r="F16" s="143" t="s">
        <v>17</v>
      </c>
      <c r="G16" s="143" t="s">
        <v>54</v>
      </c>
      <c r="H16" s="144" t="s">
        <v>19</v>
      </c>
      <c r="I16" s="168">
        <v>80000</v>
      </c>
      <c r="J16" s="176">
        <v>0</v>
      </c>
      <c r="K16" s="169">
        <f>I16*E16+J16</f>
        <v>160000</v>
      </c>
      <c r="L16" s="167" t="s">
        <v>55</v>
      </c>
      <c r="M16" s="130" t="s">
        <v>20</v>
      </c>
    </row>
    <row r="17" ht="50.1" customHeight="1" spans="1:13">
      <c r="A17" s="142">
        <f t="shared" si="0"/>
        <v>15</v>
      </c>
      <c r="B17" s="143"/>
      <c r="C17" s="143" t="s">
        <v>52</v>
      </c>
      <c r="D17" s="141" t="s">
        <v>56</v>
      </c>
      <c r="E17" s="147">
        <v>1</v>
      </c>
      <c r="F17" s="143" t="s">
        <v>17</v>
      </c>
      <c r="G17" s="143" t="s">
        <v>57</v>
      </c>
      <c r="H17" s="144" t="s">
        <v>19</v>
      </c>
      <c r="I17" s="168">
        <v>100000</v>
      </c>
      <c r="J17" s="176">
        <v>0</v>
      </c>
      <c r="K17" s="169">
        <f>I17*E17+J17</f>
        <v>100000</v>
      </c>
      <c r="L17" s="167" t="s">
        <v>55</v>
      </c>
      <c r="M17" s="130" t="s">
        <v>20</v>
      </c>
    </row>
    <row r="18" customHeight="1" spans="1:12">
      <c r="A18" s="142">
        <f t="shared" si="0"/>
        <v>16</v>
      </c>
      <c r="B18" s="143"/>
      <c r="C18" s="146" t="s">
        <v>50</v>
      </c>
      <c r="D18" s="146"/>
      <c r="E18" s="146"/>
      <c r="F18" s="146"/>
      <c r="G18" s="146"/>
      <c r="H18" s="146"/>
      <c r="I18" s="146"/>
      <c r="J18" s="169">
        <f>SUM(J16:J16)</f>
        <v>0</v>
      </c>
      <c r="K18" s="174">
        <f>SUM(K16:K17)</f>
        <v>260000</v>
      </c>
      <c r="L18" s="175"/>
    </row>
    <row r="19" s="128" customFormat="1" customHeight="1" spans="1:13">
      <c r="A19" s="142">
        <f t="shared" si="0"/>
        <v>17</v>
      </c>
      <c r="B19" s="148" t="s">
        <v>58</v>
      </c>
      <c r="C19" s="143" t="s">
        <v>59</v>
      </c>
      <c r="D19" s="141" t="s">
        <v>60</v>
      </c>
      <c r="E19" s="143">
        <v>2</v>
      </c>
      <c r="F19" s="143" t="s">
        <v>17</v>
      </c>
      <c r="G19" s="143" t="s">
        <v>61</v>
      </c>
      <c r="H19" s="143" t="s">
        <v>62</v>
      </c>
      <c r="I19" s="168">
        <v>75000</v>
      </c>
      <c r="J19" s="176">
        <v>0</v>
      </c>
      <c r="K19" s="169">
        <f t="shared" ref="K19:K28" si="2">I19*E19+J19</f>
        <v>150000</v>
      </c>
      <c r="L19" s="167" t="s">
        <v>63</v>
      </c>
      <c r="M19" s="130" t="s">
        <v>20</v>
      </c>
    </row>
    <row r="20" s="128" customFormat="1" ht="54.75" customHeight="1" spans="1:13">
      <c r="A20" s="142">
        <f t="shared" si="0"/>
        <v>18</v>
      </c>
      <c r="B20" s="149"/>
      <c r="C20" s="143" t="s">
        <v>64</v>
      </c>
      <c r="D20" s="141" t="s">
        <v>65</v>
      </c>
      <c r="E20" s="143">
        <v>1</v>
      </c>
      <c r="F20" s="143" t="s">
        <v>17</v>
      </c>
      <c r="G20" s="143" t="s">
        <v>61</v>
      </c>
      <c r="H20" s="143" t="s">
        <v>66</v>
      </c>
      <c r="I20" s="177">
        <v>55000</v>
      </c>
      <c r="J20" s="176">
        <v>0</v>
      </c>
      <c r="K20" s="169">
        <f t="shared" si="2"/>
        <v>55000</v>
      </c>
      <c r="L20" s="167" t="s">
        <v>63</v>
      </c>
      <c r="M20" s="130" t="s">
        <v>20</v>
      </c>
    </row>
    <row r="21" s="128" customFormat="1" ht="48" customHeight="1" spans="1:13">
      <c r="A21" s="142">
        <f t="shared" si="0"/>
        <v>19</v>
      </c>
      <c r="B21" s="149"/>
      <c r="C21" s="143" t="s">
        <v>64</v>
      </c>
      <c r="D21" s="141" t="s">
        <v>67</v>
      </c>
      <c r="E21" s="143">
        <v>1</v>
      </c>
      <c r="F21" s="143" t="s">
        <v>17</v>
      </c>
      <c r="G21" s="143" t="s">
        <v>61</v>
      </c>
      <c r="H21" s="143" t="s">
        <v>68</v>
      </c>
      <c r="I21" s="177">
        <v>90000</v>
      </c>
      <c r="J21" s="176">
        <v>0</v>
      </c>
      <c r="K21" s="169">
        <f t="shared" si="2"/>
        <v>90000</v>
      </c>
      <c r="L21" s="167" t="s">
        <v>63</v>
      </c>
      <c r="M21" s="130" t="s">
        <v>20</v>
      </c>
    </row>
    <row r="22" s="129" customFormat="1" ht="72" customHeight="1" spans="1:13">
      <c r="A22" s="142">
        <f t="shared" si="0"/>
        <v>20</v>
      </c>
      <c r="B22" s="149"/>
      <c r="C22" s="150" t="s">
        <v>69</v>
      </c>
      <c r="D22" s="141" t="s">
        <v>70</v>
      </c>
      <c r="E22" s="151">
        <v>1</v>
      </c>
      <c r="F22" s="143" t="s">
        <v>17</v>
      </c>
      <c r="G22" s="143" t="s">
        <v>61</v>
      </c>
      <c r="H22" s="143" t="s">
        <v>71</v>
      </c>
      <c r="I22" s="150">
        <v>20000</v>
      </c>
      <c r="J22" s="176">
        <v>0</v>
      </c>
      <c r="K22" s="169">
        <f t="shared" si="2"/>
        <v>20000</v>
      </c>
      <c r="L22" s="167" t="s">
        <v>63</v>
      </c>
      <c r="M22" s="130" t="s">
        <v>20</v>
      </c>
    </row>
    <row r="23" s="128" customFormat="1" customHeight="1" spans="1:13">
      <c r="A23" s="142">
        <f t="shared" si="0"/>
        <v>21</v>
      </c>
      <c r="B23" s="149"/>
      <c r="C23" s="143" t="s">
        <v>72</v>
      </c>
      <c r="D23" s="141" t="s">
        <v>73</v>
      </c>
      <c r="E23" s="151">
        <v>6</v>
      </c>
      <c r="F23" s="143" t="s">
        <v>74</v>
      </c>
      <c r="G23" s="143" t="s">
        <v>75</v>
      </c>
      <c r="H23" s="143" t="s">
        <v>76</v>
      </c>
      <c r="I23" s="177">
        <v>7200</v>
      </c>
      <c r="J23" s="176">
        <v>0</v>
      </c>
      <c r="K23" s="169">
        <f t="shared" si="2"/>
        <v>43200</v>
      </c>
      <c r="L23" s="167" t="s">
        <v>63</v>
      </c>
      <c r="M23" s="130" t="s">
        <v>20</v>
      </c>
    </row>
    <row r="24" s="128" customFormat="1" customHeight="1" spans="1:13">
      <c r="A24" s="142">
        <f t="shared" si="0"/>
        <v>22</v>
      </c>
      <c r="B24" s="149"/>
      <c r="C24" s="143" t="s">
        <v>72</v>
      </c>
      <c r="D24" s="141" t="s">
        <v>77</v>
      </c>
      <c r="E24" s="151">
        <v>13</v>
      </c>
      <c r="F24" s="143" t="s">
        <v>74</v>
      </c>
      <c r="G24" s="143" t="s">
        <v>75</v>
      </c>
      <c r="H24" s="143" t="s">
        <v>78</v>
      </c>
      <c r="I24" s="177">
        <v>7200</v>
      </c>
      <c r="J24" s="176">
        <v>0</v>
      </c>
      <c r="K24" s="169">
        <f t="shared" si="2"/>
        <v>93600</v>
      </c>
      <c r="L24" s="167" t="s">
        <v>63</v>
      </c>
      <c r="M24" s="130" t="s">
        <v>20</v>
      </c>
    </row>
    <row r="25" s="128" customFormat="1" customHeight="1" spans="1:13">
      <c r="A25" s="142">
        <f t="shared" si="0"/>
        <v>23</v>
      </c>
      <c r="B25" s="149"/>
      <c r="C25" s="143" t="s">
        <v>79</v>
      </c>
      <c r="D25" s="141" t="s">
        <v>80</v>
      </c>
      <c r="E25" s="151">
        <v>16</v>
      </c>
      <c r="F25" s="143" t="s">
        <v>74</v>
      </c>
      <c r="G25" s="143" t="s">
        <v>81</v>
      </c>
      <c r="H25" s="144" t="s">
        <v>19</v>
      </c>
      <c r="I25" s="177">
        <v>7000</v>
      </c>
      <c r="J25" s="176">
        <v>0</v>
      </c>
      <c r="K25" s="169">
        <f t="shared" si="2"/>
        <v>112000</v>
      </c>
      <c r="L25" s="167" t="s">
        <v>63</v>
      </c>
      <c r="M25" s="130" t="s">
        <v>20</v>
      </c>
    </row>
    <row r="26" s="128" customFormat="1" ht="50.1" customHeight="1" spans="1:13">
      <c r="A26" s="142">
        <f t="shared" si="0"/>
        <v>24</v>
      </c>
      <c r="B26" s="149"/>
      <c r="C26" s="143" t="s">
        <v>82</v>
      </c>
      <c r="D26" s="141" t="s">
        <v>83</v>
      </c>
      <c r="E26" s="151">
        <v>4</v>
      </c>
      <c r="F26" s="143" t="s">
        <v>74</v>
      </c>
      <c r="G26" s="143" t="s">
        <v>84</v>
      </c>
      <c r="H26" s="144" t="s">
        <v>19</v>
      </c>
      <c r="I26" s="168">
        <v>20000</v>
      </c>
      <c r="J26" s="176">
        <v>0</v>
      </c>
      <c r="K26" s="169">
        <f t="shared" si="2"/>
        <v>80000</v>
      </c>
      <c r="L26" s="167" t="s">
        <v>63</v>
      </c>
      <c r="M26" s="130" t="s">
        <v>20</v>
      </c>
    </row>
    <row r="27" s="128" customFormat="1" ht="44.25" customHeight="1" spans="1:13">
      <c r="A27" s="142">
        <f t="shared" si="0"/>
        <v>25</v>
      </c>
      <c r="B27" s="149"/>
      <c r="C27" s="143" t="s">
        <v>85</v>
      </c>
      <c r="D27" s="141" t="s">
        <v>86</v>
      </c>
      <c r="E27" s="143">
        <v>5</v>
      </c>
      <c r="F27" s="143" t="s">
        <v>17</v>
      </c>
      <c r="G27" s="143" t="s">
        <v>87</v>
      </c>
      <c r="H27" s="144" t="s">
        <v>19</v>
      </c>
      <c r="I27" s="168">
        <v>20000</v>
      </c>
      <c r="J27" s="176">
        <v>0</v>
      </c>
      <c r="K27" s="169">
        <f t="shared" si="2"/>
        <v>100000</v>
      </c>
      <c r="L27" s="167" t="s">
        <v>63</v>
      </c>
      <c r="M27" s="130" t="s">
        <v>20</v>
      </c>
    </row>
    <row r="28" s="128" customFormat="1" ht="48" customHeight="1" spans="1:13">
      <c r="A28" s="142">
        <f t="shared" si="0"/>
        <v>26</v>
      </c>
      <c r="B28" s="149"/>
      <c r="C28" s="143" t="s">
        <v>88</v>
      </c>
      <c r="D28" s="141" t="s">
        <v>89</v>
      </c>
      <c r="E28" s="152">
        <v>12</v>
      </c>
      <c r="F28" s="143" t="s">
        <v>17</v>
      </c>
      <c r="G28" s="143" t="s">
        <v>90</v>
      </c>
      <c r="H28" s="144" t="s">
        <v>19</v>
      </c>
      <c r="I28" s="168">
        <v>8000</v>
      </c>
      <c r="J28" s="176">
        <v>0</v>
      </c>
      <c r="K28" s="169">
        <f t="shared" si="2"/>
        <v>96000</v>
      </c>
      <c r="L28" s="167" t="s">
        <v>63</v>
      </c>
      <c r="M28" s="130" t="s">
        <v>20</v>
      </c>
    </row>
    <row r="29" customHeight="1" spans="1:12">
      <c r="A29" s="142">
        <f t="shared" si="0"/>
        <v>27</v>
      </c>
      <c r="B29" s="144"/>
      <c r="C29" s="146" t="s">
        <v>50</v>
      </c>
      <c r="D29" s="146"/>
      <c r="E29" s="146"/>
      <c r="F29" s="146"/>
      <c r="G29" s="146"/>
      <c r="H29" s="146"/>
      <c r="I29" s="146"/>
      <c r="J29" s="169">
        <f>SUM(J27:J28)</f>
        <v>0</v>
      </c>
      <c r="K29" s="174">
        <f>SUM(K19:K28)</f>
        <v>839800</v>
      </c>
      <c r="L29" s="175"/>
    </row>
    <row r="30" s="128" customFormat="1" ht="50.1" customHeight="1" spans="1:13">
      <c r="A30" s="142">
        <f t="shared" si="0"/>
        <v>28</v>
      </c>
      <c r="B30" s="148" t="s">
        <v>91</v>
      </c>
      <c r="C30" s="143" t="s">
        <v>92</v>
      </c>
      <c r="D30" s="141" t="s">
        <v>93</v>
      </c>
      <c r="E30" s="143">
        <v>1</v>
      </c>
      <c r="F30" s="143" t="s">
        <v>17</v>
      </c>
      <c r="G30" s="143" t="s">
        <v>94</v>
      </c>
      <c r="H30" s="143" t="s">
        <v>95</v>
      </c>
      <c r="I30" s="178">
        <v>340000</v>
      </c>
      <c r="J30" s="179">
        <v>0</v>
      </c>
      <c r="K30" s="180">
        <v>340000</v>
      </c>
      <c r="L30" s="181" t="s">
        <v>96</v>
      </c>
      <c r="M30" s="182"/>
    </row>
    <row r="31" s="128" customFormat="1" ht="50.1" customHeight="1" spans="1:13">
      <c r="A31" s="142">
        <f t="shared" si="0"/>
        <v>29</v>
      </c>
      <c r="B31" s="149"/>
      <c r="C31" s="143"/>
      <c r="D31" s="141" t="s">
        <v>97</v>
      </c>
      <c r="E31" s="143">
        <v>1</v>
      </c>
      <c r="F31" s="143" t="s">
        <v>17</v>
      </c>
      <c r="G31" s="143" t="s">
        <v>98</v>
      </c>
      <c r="H31" s="143" t="s">
        <v>95</v>
      </c>
      <c r="I31" s="178"/>
      <c r="J31" s="179">
        <v>0</v>
      </c>
      <c r="K31" s="166"/>
      <c r="L31" s="181" t="s">
        <v>96</v>
      </c>
      <c r="M31" s="182"/>
    </row>
    <row r="32" s="128" customFormat="1" customHeight="1" spans="1:13">
      <c r="A32" s="142">
        <f t="shared" si="0"/>
        <v>30</v>
      </c>
      <c r="B32" s="144"/>
      <c r="C32" s="146" t="s">
        <v>50</v>
      </c>
      <c r="D32" s="146"/>
      <c r="E32" s="146"/>
      <c r="F32" s="146"/>
      <c r="G32" s="146"/>
      <c r="H32" s="146"/>
      <c r="I32" s="146"/>
      <c r="J32" s="169">
        <f>SUM(J27:J31)</f>
        <v>0</v>
      </c>
      <c r="K32" s="174">
        <f>SUM(K30:K31)</f>
        <v>340000</v>
      </c>
      <c r="L32" s="175"/>
      <c r="M32" s="130"/>
    </row>
    <row r="33" s="128" customFormat="1" ht="81.75" customHeight="1" spans="1:13">
      <c r="A33" s="142">
        <f t="shared" si="0"/>
        <v>31</v>
      </c>
      <c r="B33" s="143" t="s">
        <v>99</v>
      </c>
      <c r="C33" s="143" t="s">
        <v>99</v>
      </c>
      <c r="D33" s="141" t="s">
        <v>100</v>
      </c>
      <c r="E33" s="147">
        <v>1</v>
      </c>
      <c r="F33" s="143" t="s">
        <v>46</v>
      </c>
      <c r="G33" s="144" t="s">
        <v>19</v>
      </c>
      <c r="H33" s="144" t="s">
        <v>19</v>
      </c>
      <c r="I33" s="183">
        <v>350000</v>
      </c>
      <c r="J33" s="169">
        <v>0</v>
      </c>
      <c r="K33" s="169">
        <f>I33*E33+J33</f>
        <v>350000</v>
      </c>
      <c r="L33" s="167" t="s">
        <v>101</v>
      </c>
      <c r="M33" s="130" t="s">
        <v>102</v>
      </c>
    </row>
    <row r="34" s="128" customFormat="1" ht="54.75" customHeight="1" spans="1:13">
      <c r="A34" s="142">
        <f t="shared" si="0"/>
        <v>32</v>
      </c>
      <c r="B34" s="143"/>
      <c r="C34" s="143" t="s">
        <v>103</v>
      </c>
      <c r="D34" s="141" t="s">
        <v>104</v>
      </c>
      <c r="E34" s="147">
        <v>1</v>
      </c>
      <c r="F34" s="143" t="s">
        <v>46</v>
      </c>
      <c r="G34" s="144" t="s">
        <v>19</v>
      </c>
      <c r="H34" s="144" t="s">
        <v>19</v>
      </c>
      <c r="I34" s="183">
        <v>200818</v>
      </c>
      <c r="J34" s="184">
        <v>0</v>
      </c>
      <c r="K34" s="169">
        <v>200818</v>
      </c>
      <c r="L34" s="181" t="s">
        <v>105</v>
      </c>
      <c r="M34" s="182"/>
    </row>
    <row r="35" customHeight="1" spans="1:12">
      <c r="A35" s="142">
        <f t="shared" si="0"/>
        <v>33</v>
      </c>
      <c r="B35" s="143"/>
      <c r="C35" s="146" t="s">
        <v>50</v>
      </c>
      <c r="D35" s="146"/>
      <c r="E35" s="146"/>
      <c r="F35" s="146"/>
      <c r="G35" s="146"/>
      <c r="H35" s="146"/>
      <c r="I35" s="146"/>
      <c r="J35" s="169">
        <f>SUM(J27:J33)</f>
        <v>0</v>
      </c>
      <c r="K35" s="174">
        <f>SUM(K33:K34)</f>
        <v>550818</v>
      </c>
      <c r="L35" s="175"/>
    </row>
    <row r="36" s="128" customFormat="1" ht="55.5" customHeight="1" spans="1:13">
      <c r="A36" s="142">
        <f t="shared" si="0"/>
        <v>34</v>
      </c>
      <c r="B36" s="143" t="s">
        <v>106</v>
      </c>
      <c r="C36" s="143" t="s">
        <v>107</v>
      </c>
      <c r="D36" s="141" t="s">
        <v>108</v>
      </c>
      <c r="E36" s="143">
        <v>1</v>
      </c>
      <c r="F36" s="143" t="s">
        <v>46</v>
      </c>
      <c r="G36" s="144" t="s">
        <v>19</v>
      </c>
      <c r="H36" s="144" t="s">
        <v>19</v>
      </c>
      <c r="I36" s="185">
        <v>0</v>
      </c>
      <c r="J36" s="183">
        <v>270000</v>
      </c>
      <c r="K36" s="169">
        <f>I36*E36+J36</f>
        <v>270000</v>
      </c>
      <c r="L36" s="167" t="s">
        <v>63</v>
      </c>
      <c r="M36" s="130" t="s">
        <v>109</v>
      </c>
    </row>
    <row r="37" s="128" customFormat="1" ht="49.5" customHeight="1" spans="1:13">
      <c r="A37" s="142">
        <f t="shared" si="0"/>
        <v>35</v>
      </c>
      <c r="B37" s="143"/>
      <c r="C37" s="143" t="s">
        <v>110</v>
      </c>
      <c r="D37" s="141" t="s">
        <v>111</v>
      </c>
      <c r="E37" s="143">
        <v>1</v>
      </c>
      <c r="F37" s="143" t="s">
        <v>46</v>
      </c>
      <c r="G37" s="144" t="s">
        <v>19</v>
      </c>
      <c r="H37" s="144" t="s">
        <v>19</v>
      </c>
      <c r="I37" s="185">
        <v>0</v>
      </c>
      <c r="J37" s="183">
        <v>60000</v>
      </c>
      <c r="K37" s="169">
        <f>I37*E37+J37</f>
        <v>60000</v>
      </c>
      <c r="L37" s="167"/>
      <c r="M37" s="130" t="s">
        <v>109</v>
      </c>
    </row>
    <row r="38" s="128" customFormat="1" customHeight="1" spans="1:13">
      <c r="A38" s="142">
        <f t="shared" si="0"/>
        <v>36</v>
      </c>
      <c r="B38" s="143"/>
      <c r="C38" s="143" t="s">
        <v>112</v>
      </c>
      <c r="D38" s="141" t="s">
        <v>113</v>
      </c>
      <c r="E38" s="143">
        <v>1</v>
      </c>
      <c r="F38" s="143" t="s">
        <v>46</v>
      </c>
      <c r="G38" s="144" t="s">
        <v>19</v>
      </c>
      <c r="H38" s="144" t="s">
        <v>19</v>
      </c>
      <c r="I38" s="185"/>
      <c r="J38" s="169">
        <v>0</v>
      </c>
      <c r="K38" s="169">
        <f>(K36+K37)*6%</f>
        <v>19800</v>
      </c>
      <c r="L38" s="167"/>
      <c r="M38" s="130"/>
    </row>
    <row r="39" s="128" customFormat="1" customHeight="1" spans="1:13">
      <c r="A39" s="142">
        <f t="shared" si="0"/>
        <v>37</v>
      </c>
      <c r="B39" s="143"/>
      <c r="C39" s="146"/>
      <c r="D39" s="146"/>
      <c r="E39" s="146"/>
      <c r="F39" s="146"/>
      <c r="G39" s="146"/>
      <c r="H39" s="146"/>
      <c r="I39" s="186"/>
      <c r="J39" s="169">
        <v>0</v>
      </c>
      <c r="K39" s="174">
        <f>SUM(K36:K38)</f>
        <v>349800</v>
      </c>
      <c r="L39" s="175"/>
      <c r="M39" s="130"/>
    </row>
    <row r="40" s="128" customFormat="1" customHeight="1" spans="1:13">
      <c r="A40" s="142">
        <f t="shared" si="0"/>
        <v>38</v>
      </c>
      <c r="B40" s="143" t="s">
        <v>114</v>
      </c>
      <c r="C40" s="143" t="s">
        <v>115</v>
      </c>
      <c r="D40" s="141" t="s">
        <v>116</v>
      </c>
      <c r="E40" s="143">
        <v>1</v>
      </c>
      <c r="F40" s="143" t="s">
        <v>46</v>
      </c>
      <c r="G40" s="144" t="s">
        <v>19</v>
      </c>
      <c r="H40" s="144" t="s">
        <v>19</v>
      </c>
      <c r="I40" s="185">
        <v>0</v>
      </c>
      <c r="J40" s="169">
        <v>0</v>
      </c>
      <c r="K40" s="169">
        <f>I40*E40+J40</f>
        <v>0</v>
      </c>
      <c r="L40" s="167"/>
      <c r="M40" s="130" t="s">
        <v>117</v>
      </c>
    </row>
    <row r="41" s="128" customFormat="1" customHeight="1" spans="1:13">
      <c r="A41" s="142">
        <f t="shared" si="0"/>
        <v>39</v>
      </c>
      <c r="B41" s="143"/>
      <c r="C41" s="143" t="s">
        <v>118</v>
      </c>
      <c r="D41" s="141" t="s">
        <v>119</v>
      </c>
      <c r="E41" s="143">
        <v>1</v>
      </c>
      <c r="F41" s="143" t="s">
        <v>46</v>
      </c>
      <c r="G41" s="144" t="s">
        <v>19</v>
      </c>
      <c r="H41" s="144" t="s">
        <v>19</v>
      </c>
      <c r="I41" s="177">
        <v>100000</v>
      </c>
      <c r="J41" s="169">
        <v>0</v>
      </c>
      <c r="K41" s="169">
        <f>I41*E41+J41</f>
        <v>100000</v>
      </c>
      <c r="L41" s="167"/>
      <c r="M41" s="130" t="s">
        <v>120</v>
      </c>
    </row>
    <row r="42" s="128" customFormat="1" customHeight="1" spans="1:13">
      <c r="A42" s="142">
        <f t="shared" si="0"/>
        <v>40</v>
      </c>
      <c r="B42" s="143"/>
      <c r="C42" s="143" t="s">
        <v>121</v>
      </c>
      <c r="D42" s="141" t="s">
        <v>122</v>
      </c>
      <c r="E42" s="143">
        <v>1</v>
      </c>
      <c r="F42" s="143" t="s">
        <v>46</v>
      </c>
      <c r="G42" s="144" t="s">
        <v>19</v>
      </c>
      <c r="H42" s="144" t="s">
        <v>19</v>
      </c>
      <c r="I42" s="185">
        <v>0</v>
      </c>
      <c r="J42" s="169">
        <v>0</v>
      </c>
      <c r="K42" s="169">
        <f>I42*E42+J42</f>
        <v>0</v>
      </c>
      <c r="L42" s="167"/>
      <c r="M42" s="130"/>
    </row>
    <row r="43" s="128" customFormat="1" customHeight="1" spans="1:13">
      <c r="A43" s="142">
        <f t="shared" si="0"/>
        <v>41</v>
      </c>
      <c r="B43" s="143"/>
      <c r="C43" s="146"/>
      <c r="D43" s="146"/>
      <c r="E43" s="146"/>
      <c r="F43" s="146"/>
      <c r="G43" s="146"/>
      <c r="H43" s="146"/>
      <c r="I43" s="186"/>
      <c r="J43" s="169">
        <v>0</v>
      </c>
      <c r="K43" s="174">
        <f>SUM(K40:K42)</f>
        <v>100000</v>
      </c>
      <c r="L43" s="175"/>
      <c r="M43" s="130"/>
    </row>
    <row r="44" s="128" customFormat="1" customHeight="1" spans="1:13">
      <c r="A44" s="153">
        <f t="shared" si="0"/>
        <v>42</v>
      </c>
      <c r="B44" s="154" t="s">
        <v>123</v>
      </c>
      <c r="C44" s="154"/>
      <c r="D44" s="154"/>
      <c r="E44" s="154"/>
      <c r="F44" s="154"/>
      <c r="G44" s="154"/>
      <c r="H44" s="154"/>
      <c r="I44" s="154"/>
      <c r="J44" s="154"/>
      <c r="K44" s="187">
        <f>K15+K18+K29+K35+K32+K39+K43</f>
        <v>3436418</v>
      </c>
      <c r="L44" s="188">
        <f>(K44-K32)/$L$47</f>
        <v>321538.733125649</v>
      </c>
      <c r="M44" s="189"/>
    </row>
    <row r="45" s="128" customFormat="1" customHeight="1"/>
    <row r="46" s="128" customFormat="1" customHeight="1" spans="2:12">
      <c r="B46" s="155"/>
      <c r="C46" s="155"/>
      <c r="D46" s="155"/>
      <c r="E46" s="155"/>
      <c r="F46" s="155"/>
      <c r="G46" s="155"/>
      <c r="H46" s="155"/>
      <c r="I46" s="190" t="s">
        <v>124</v>
      </c>
      <c r="J46" s="191">
        <f>ROUNDUP(K44/10000,2)</f>
        <v>343.65</v>
      </c>
      <c r="K46" s="192">
        <f>ROUNDUP(K44/L46/1000000,2)</f>
        <v>0.48</v>
      </c>
      <c r="L46" s="193">
        <v>7.26</v>
      </c>
    </row>
    <row r="47" s="128" customFormat="1" customHeight="1" spans="7:12">
      <c r="G47" s="156"/>
      <c r="I47" s="194" t="s">
        <v>125</v>
      </c>
      <c r="J47" s="191">
        <v>201.07</v>
      </c>
      <c r="K47" s="195">
        <v>0.21</v>
      </c>
      <c r="L47" s="196">
        <v>9.63</v>
      </c>
    </row>
    <row r="48" s="128" customFormat="1" customHeight="1" spans="10:12">
      <c r="J48" s="132"/>
      <c r="K48" s="132"/>
      <c r="L48" s="133"/>
    </row>
    <row r="49" s="128" customFormat="1" customHeight="1" spans="5:12">
      <c r="E49" s="132"/>
      <c r="F49" s="132"/>
      <c r="G49" s="132"/>
      <c r="H49" s="132"/>
      <c r="J49" s="132"/>
      <c r="K49" s="132"/>
      <c r="L49" s="132"/>
    </row>
    <row r="50" s="128" customFormat="1" customHeight="1" spans="11:12">
      <c r="K50" s="132"/>
      <c r="L50" s="132"/>
    </row>
    <row r="51" s="128" customFormat="1" customHeight="1" spans="10:12">
      <c r="J51" s="132"/>
      <c r="K51" s="132"/>
      <c r="L51" s="133"/>
    </row>
    <row r="52" s="128" customFormat="1" customHeight="1" spans="10:12">
      <c r="J52" s="132"/>
      <c r="K52" s="132"/>
      <c r="L52" s="133"/>
    </row>
    <row r="53" s="128" customFormat="1" customHeight="1" spans="10:12">
      <c r="J53" s="132"/>
      <c r="K53" s="132"/>
      <c r="L53" s="133"/>
    </row>
    <row r="54" s="128" customFormat="1" customHeight="1" spans="10:12">
      <c r="J54" s="132"/>
      <c r="K54" s="132"/>
      <c r="L54" s="133"/>
    </row>
    <row r="55" s="128" customFormat="1" customHeight="1" spans="10:12">
      <c r="J55" s="132"/>
      <c r="K55" s="132"/>
      <c r="L55" s="133"/>
    </row>
    <row r="56" s="128" customFormat="1" customHeight="1" spans="10:12">
      <c r="J56" s="132"/>
      <c r="K56" s="132"/>
      <c r="L56" s="133"/>
    </row>
    <row r="57" s="128" customFormat="1" customHeight="1" spans="10:12">
      <c r="J57" s="132"/>
      <c r="K57" s="132"/>
      <c r="L57" s="133"/>
    </row>
    <row r="58" s="128" customFormat="1" customHeight="1" spans="10:12">
      <c r="J58" s="132"/>
      <c r="K58" s="132"/>
      <c r="L58" s="133"/>
    </row>
    <row r="59" s="128" customFormat="1" customHeight="1" spans="10:12">
      <c r="J59" s="132"/>
      <c r="K59" s="132"/>
      <c r="L59" s="133"/>
    </row>
  </sheetData>
  <mergeCells count="18">
    <mergeCell ref="A1:H1"/>
    <mergeCell ref="I1:L1"/>
    <mergeCell ref="C15:I15"/>
    <mergeCell ref="C18:I18"/>
    <mergeCell ref="C29:I29"/>
    <mergeCell ref="C32:I32"/>
    <mergeCell ref="C35:I35"/>
    <mergeCell ref="B44:J44"/>
    <mergeCell ref="B3:B15"/>
    <mergeCell ref="B16:B18"/>
    <mergeCell ref="B19:B29"/>
    <mergeCell ref="B30:B32"/>
    <mergeCell ref="B33:B35"/>
    <mergeCell ref="B36:B39"/>
    <mergeCell ref="B40:B43"/>
    <mergeCell ref="C30:C31"/>
    <mergeCell ref="I30:I31"/>
    <mergeCell ref="K30:K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5"/>
  <sheetViews>
    <sheetView workbookViewId="0">
      <selection activeCell="D31" sqref="D31"/>
    </sheetView>
  </sheetViews>
  <sheetFormatPr defaultColWidth="8.875" defaultRowHeight="15.75" customHeight="1" outlineLevelCol="5"/>
  <cols>
    <col min="2" max="2" width="16.125" style="119" customWidth="1"/>
    <col min="3" max="3" width="29.125" style="119" customWidth="1"/>
    <col min="4" max="4" width="12.625" style="119" customWidth="1"/>
  </cols>
  <sheetData>
    <row r="1" customHeight="1" spans="6:6">
      <c r="F1" s="119" t="s">
        <v>126</v>
      </c>
    </row>
    <row r="3" customHeight="1" spans="1:4">
      <c r="A3" s="120" t="s">
        <v>127</v>
      </c>
      <c r="B3" s="120" t="s">
        <v>128</v>
      </c>
      <c r="C3" s="120" t="s">
        <v>129</v>
      </c>
      <c r="D3" s="120" t="s">
        <v>130</v>
      </c>
    </row>
    <row r="4" customHeight="1" spans="1:4">
      <c r="A4" s="121">
        <v>1</v>
      </c>
      <c r="B4" s="121" t="s">
        <v>131</v>
      </c>
      <c r="C4" s="120" t="s">
        <v>132</v>
      </c>
      <c r="D4" s="121">
        <v>2</v>
      </c>
    </row>
    <row r="5" ht="31.5" customHeight="1" spans="1:4">
      <c r="A5" s="121">
        <v>2</v>
      </c>
      <c r="B5" s="121"/>
      <c r="C5" s="122" t="s">
        <v>133</v>
      </c>
      <c r="D5" s="121">
        <v>3</v>
      </c>
    </row>
    <row r="7" customHeight="1" spans="1:1">
      <c r="A7" s="119" t="s">
        <v>134</v>
      </c>
    </row>
    <row r="8" customHeight="1" spans="1:1">
      <c r="A8" s="119" t="s">
        <v>135</v>
      </c>
    </row>
    <row r="9" customHeight="1" spans="1:1">
      <c r="A9" s="123"/>
    </row>
    <row r="10" customHeight="1" spans="1:1">
      <c r="A10" s="119" t="s">
        <v>136</v>
      </c>
    </row>
    <row r="11" customHeight="1" spans="1:1">
      <c r="A11" s="124" t="s">
        <v>137</v>
      </c>
    </row>
    <row r="12" customHeight="1" spans="1:1">
      <c r="A12" s="124" t="s">
        <v>138</v>
      </c>
    </row>
    <row r="13" customHeight="1" spans="1:1">
      <c r="A13" s="124" t="s">
        <v>139</v>
      </c>
    </row>
    <row r="14" customHeight="1" spans="1:1">
      <c r="A14" s="124" t="s">
        <v>140</v>
      </c>
    </row>
    <row r="15" customHeight="1" spans="1:1">
      <c r="A15" s="125" t="s">
        <v>141</v>
      </c>
    </row>
    <row r="16" customHeight="1" spans="1:1">
      <c r="A16" s="125" t="s">
        <v>142</v>
      </c>
    </row>
    <row r="17" customHeight="1" spans="1:1">
      <c r="A17" s="125" t="s">
        <v>143</v>
      </c>
    </row>
    <row r="18" customHeight="1" spans="1:1">
      <c r="A18" s="125" t="s">
        <v>144</v>
      </c>
    </row>
    <row r="19" customHeight="1" spans="1:1">
      <c r="A19" s="125" t="s">
        <v>145</v>
      </c>
    </row>
    <row r="20" customHeight="1" spans="1:1">
      <c r="A20" s="125" t="s">
        <v>146</v>
      </c>
    </row>
    <row r="21" customHeight="1" spans="1:1">
      <c r="A21" s="125" t="s">
        <v>147</v>
      </c>
    </row>
    <row r="22" customHeight="1" spans="1:1">
      <c r="A22" s="125" t="s">
        <v>148</v>
      </c>
    </row>
    <row r="23" customHeight="1" spans="1:1">
      <c r="A23" s="125" t="s">
        <v>149</v>
      </c>
    </row>
    <row r="24" customHeight="1" spans="1:1">
      <c r="A24" s="125" t="s">
        <v>150</v>
      </c>
    </row>
    <row r="25" customHeight="1" spans="1:1">
      <c r="A25" s="125" t="s">
        <v>151</v>
      </c>
    </row>
    <row r="26" customHeight="1" spans="1:1">
      <c r="A26" s="124" t="s">
        <v>152</v>
      </c>
    </row>
    <row r="27" customHeight="1" spans="1:1">
      <c r="A27" s="125" t="s">
        <v>153</v>
      </c>
    </row>
    <row r="28" customHeight="1" spans="1:1">
      <c r="A28" s="125" t="s">
        <v>154</v>
      </c>
    </row>
    <row r="29" customHeight="1" spans="1:1">
      <c r="A29" s="125" t="s">
        <v>155</v>
      </c>
    </row>
    <row r="30" customHeight="1" spans="1:1">
      <c r="A30" s="125" t="s">
        <v>156</v>
      </c>
    </row>
    <row r="31" customHeight="1" spans="1:1">
      <c r="A31" s="125" t="s">
        <v>157</v>
      </c>
    </row>
    <row r="32" customHeight="1" spans="1:1">
      <c r="A32" s="124" t="s">
        <v>158</v>
      </c>
    </row>
    <row r="33" customHeight="1" spans="1:1">
      <c r="A33" s="125" t="s">
        <v>159</v>
      </c>
    </row>
    <row r="34" customHeight="1" spans="1:1">
      <c r="A34" s="125" t="s">
        <v>160</v>
      </c>
    </row>
    <row r="35" customHeight="1" spans="1:1">
      <c r="A35" s="125" t="s">
        <v>161</v>
      </c>
    </row>
    <row r="36" customHeight="1" spans="1:1">
      <c r="A36" s="124" t="s">
        <v>162</v>
      </c>
    </row>
    <row r="37" customHeight="1" spans="1:1">
      <c r="A37" s="124" t="s">
        <v>163</v>
      </c>
    </row>
    <row r="38" customHeight="1" spans="1:1">
      <c r="A38" s="124" t="s">
        <v>164</v>
      </c>
    </row>
    <row r="39" customHeight="1" spans="1:1">
      <c r="A39" s="124" t="s">
        <v>165</v>
      </c>
    </row>
    <row r="40" customHeight="1" spans="1:1">
      <c r="A40" s="124" t="s">
        <v>166</v>
      </c>
    </row>
    <row r="41" customHeight="1" spans="1:1">
      <c r="A41" s="124" t="s">
        <v>167</v>
      </c>
    </row>
    <row r="42" customHeight="1" spans="1:1">
      <c r="A42" s="126"/>
    </row>
    <row r="43" customHeight="1" spans="1:1">
      <c r="A43" s="127" t="s">
        <v>168</v>
      </c>
    </row>
    <row r="44" customHeight="1" spans="1:1">
      <c r="A44" s="124" t="s">
        <v>169</v>
      </c>
    </row>
    <row r="45" customHeight="1" spans="1:1">
      <c r="A45" s="124" t="s">
        <v>170</v>
      </c>
    </row>
  </sheetData>
  <mergeCells count="1">
    <mergeCell ref="B4:B5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CP35"/>
  <sheetViews>
    <sheetView tabSelected="1" topLeftCell="B1" workbookViewId="0">
      <pane ySplit="1" topLeftCell="A3" activePane="bottomLeft" state="frozen"/>
      <selection/>
      <selection pane="bottomLeft" activeCell="AB5" sqref="AB5"/>
    </sheetView>
  </sheetViews>
  <sheetFormatPr defaultColWidth="10.625" defaultRowHeight="30" customHeight="1"/>
  <cols>
    <col min="1" max="1" width="10.625" style="1"/>
    <col min="2" max="2" width="8.25" style="1" customWidth="1"/>
    <col min="3" max="3" width="28.875" style="1" customWidth="1"/>
    <col min="4" max="4" width="12.9166666666667" style="1" customWidth="1"/>
    <col min="5" max="52" width="2.5" style="1" customWidth="1"/>
    <col min="53" max="93" width="2.5" customWidth="1"/>
  </cols>
  <sheetData>
    <row r="1" customHeight="1" spans="3:94">
      <c r="C1" s="2" t="s">
        <v>171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CP1" t="s">
        <v>172</v>
      </c>
    </row>
    <row r="2" customHeight="1" spans="2:93">
      <c r="B2" s="4" t="s">
        <v>173</v>
      </c>
      <c r="C2" s="4"/>
      <c r="D2" s="5" t="s">
        <v>174</v>
      </c>
      <c r="E2" s="6">
        <v>8</v>
      </c>
      <c r="F2" s="7"/>
      <c r="G2" s="7"/>
      <c r="H2" s="7"/>
      <c r="I2" s="6">
        <v>9</v>
      </c>
      <c r="J2" s="7"/>
      <c r="K2" s="7"/>
      <c r="L2" s="7"/>
      <c r="M2" s="6">
        <v>10</v>
      </c>
      <c r="N2" s="7"/>
      <c r="O2" s="7"/>
      <c r="P2" s="7"/>
      <c r="Q2" s="6">
        <v>11</v>
      </c>
      <c r="R2" s="7"/>
      <c r="S2" s="7"/>
      <c r="T2" s="7"/>
      <c r="U2" s="6">
        <v>12</v>
      </c>
      <c r="V2" s="7"/>
      <c r="W2" s="7"/>
      <c r="X2" s="7"/>
      <c r="Y2" s="7">
        <v>1</v>
      </c>
      <c r="Z2" s="7"/>
      <c r="AA2" s="7"/>
      <c r="AB2" s="7"/>
      <c r="AC2" s="7">
        <v>2</v>
      </c>
      <c r="AD2" s="7"/>
      <c r="AE2" s="7"/>
      <c r="AF2" s="7"/>
      <c r="AG2" s="7">
        <v>3</v>
      </c>
      <c r="AH2" s="7"/>
      <c r="AI2" s="7"/>
      <c r="AJ2" s="7"/>
      <c r="AK2" s="7">
        <v>4</v>
      </c>
      <c r="AL2" s="7"/>
      <c r="AM2" s="7"/>
      <c r="AN2" s="7"/>
      <c r="AO2" s="7">
        <v>5</v>
      </c>
      <c r="AP2" s="7"/>
      <c r="AQ2" s="7"/>
      <c r="AR2" s="7"/>
      <c r="AS2" s="7">
        <v>6</v>
      </c>
      <c r="AT2" s="7"/>
      <c r="AU2" s="7"/>
      <c r="AV2" s="7"/>
      <c r="AW2" s="7">
        <v>7</v>
      </c>
      <c r="AX2" s="7"/>
      <c r="AY2" s="7"/>
      <c r="AZ2" s="7"/>
      <c r="BA2" s="7">
        <v>8</v>
      </c>
      <c r="BB2" s="7"/>
      <c r="BC2" s="7"/>
      <c r="BD2" s="7"/>
      <c r="BE2" s="7">
        <v>9</v>
      </c>
      <c r="BF2" s="7"/>
      <c r="BG2" s="7"/>
      <c r="BH2" s="7"/>
      <c r="BI2" s="7">
        <v>10</v>
      </c>
      <c r="BJ2" s="7"/>
      <c r="BK2" s="7"/>
      <c r="BL2" s="7"/>
      <c r="BM2" s="7">
        <v>11</v>
      </c>
      <c r="BN2" s="7"/>
      <c r="BO2" s="7"/>
      <c r="BP2" s="7"/>
      <c r="BQ2" s="7">
        <v>12</v>
      </c>
      <c r="BR2" s="7"/>
      <c r="BS2" s="7"/>
      <c r="BT2" s="7"/>
      <c r="BU2" s="7">
        <v>1</v>
      </c>
      <c r="BV2" s="7"/>
      <c r="BW2" s="7"/>
      <c r="BX2" s="7"/>
      <c r="BY2" s="104">
        <v>2</v>
      </c>
      <c r="BZ2" s="104"/>
      <c r="CA2" s="104"/>
      <c r="CB2" s="104"/>
      <c r="CC2" s="104">
        <v>3</v>
      </c>
      <c r="CD2" s="104"/>
      <c r="CE2" s="104"/>
      <c r="CF2" s="104"/>
      <c r="CG2" s="104">
        <v>4</v>
      </c>
      <c r="CH2" s="104"/>
      <c r="CI2" s="104"/>
      <c r="CJ2" s="104"/>
      <c r="CK2" s="104">
        <v>5</v>
      </c>
      <c r="CL2" s="104"/>
      <c r="CM2" s="104"/>
      <c r="CN2" s="104"/>
      <c r="CO2" s="115"/>
    </row>
    <row r="3" customHeight="1" spans="2:93">
      <c r="B3" s="4" t="s">
        <v>175</v>
      </c>
      <c r="C3" s="4"/>
      <c r="D3" s="5" t="s">
        <v>176</v>
      </c>
      <c r="E3" s="6">
        <v>1</v>
      </c>
      <c r="F3" s="7">
        <v>2</v>
      </c>
      <c r="G3" s="7">
        <v>3</v>
      </c>
      <c r="H3" s="7">
        <v>4</v>
      </c>
      <c r="I3" s="7">
        <v>1</v>
      </c>
      <c r="J3" s="7">
        <v>2</v>
      </c>
      <c r="K3" s="7">
        <v>3</v>
      </c>
      <c r="L3" s="7">
        <v>4</v>
      </c>
      <c r="M3" s="6">
        <v>1</v>
      </c>
      <c r="N3" s="7">
        <v>2</v>
      </c>
      <c r="O3" s="7">
        <v>3</v>
      </c>
      <c r="P3" s="7">
        <v>4</v>
      </c>
      <c r="Q3" s="7">
        <v>1</v>
      </c>
      <c r="R3" s="7">
        <v>2</v>
      </c>
      <c r="S3" s="7">
        <v>3</v>
      </c>
      <c r="T3" s="7">
        <v>4</v>
      </c>
      <c r="U3" s="6">
        <v>1</v>
      </c>
      <c r="V3" s="7">
        <v>2</v>
      </c>
      <c r="W3" s="7">
        <v>3</v>
      </c>
      <c r="X3" s="7">
        <v>4</v>
      </c>
      <c r="Y3" s="7">
        <v>1</v>
      </c>
      <c r="Z3" s="7">
        <v>2</v>
      </c>
      <c r="AA3" s="7">
        <v>3</v>
      </c>
      <c r="AB3" s="7">
        <v>4</v>
      </c>
      <c r="AC3" s="6">
        <v>1</v>
      </c>
      <c r="AD3" s="7">
        <v>2</v>
      </c>
      <c r="AE3" s="7">
        <v>3</v>
      </c>
      <c r="AF3" s="7">
        <v>4</v>
      </c>
      <c r="AG3" s="7">
        <v>1</v>
      </c>
      <c r="AH3" s="7">
        <v>2</v>
      </c>
      <c r="AI3" s="7">
        <v>3</v>
      </c>
      <c r="AJ3" s="7">
        <v>4</v>
      </c>
      <c r="AK3" s="6">
        <v>1</v>
      </c>
      <c r="AL3" s="7">
        <v>2</v>
      </c>
      <c r="AM3" s="7">
        <v>3</v>
      </c>
      <c r="AN3" s="7">
        <v>4</v>
      </c>
      <c r="AO3" s="7">
        <v>1</v>
      </c>
      <c r="AP3" s="7">
        <v>2</v>
      </c>
      <c r="AQ3" s="7">
        <v>3</v>
      </c>
      <c r="AR3" s="7">
        <v>4</v>
      </c>
      <c r="AS3" s="6">
        <v>1</v>
      </c>
      <c r="AT3" s="7">
        <v>2</v>
      </c>
      <c r="AU3" s="7">
        <v>3</v>
      </c>
      <c r="AV3" s="7">
        <v>4</v>
      </c>
      <c r="AW3" s="7">
        <v>1</v>
      </c>
      <c r="AX3" s="7">
        <v>2</v>
      </c>
      <c r="AY3" s="7">
        <v>3</v>
      </c>
      <c r="AZ3" s="7">
        <v>4</v>
      </c>
      <c r="BA3" s="6">
        <v>1</v>
      </c>
      <c r="BB3" s="7">
        <v>2</v>
      </c>
      <c r="BC3" s="7">
        <v>3</v>
      </c>
      <c r="BD3" s="7">
        <v>4</v>
      </c>
      <c r="BE3" s="7">
        <v>1</v>
      </c>
      <c r="BF3" s="7">
        <v>2</v>
      </c>
      <c r="BG3" s="7">
        <v>3</v>
      </c>
      <c r="BH3" s="7">
        <v>4</v>
      </c>
      <c r="BI3" s="6">
        <v>1</v>
      </c>
      <c r="BJ3" s="7">
        <v>2</v>
      </c>
      <c r="BK3" s="7">
        <v>3</v>
      </c>
      <c r="BL3" s="7">
        <v>4</v>
      </c>
      <c r="BM3" s="7">
        <v>1</v>
      </c>
      <c r="BN3" s="7">
        <v>2</v>
      </c>
      <c r="BO3" s="7">
        <v>3</v>
      </c>
      <c r="BP3" s="7">
        <v>4</v>
      </c>
      <c r="BQ3" s="104">
        <v>1</v>
      </c>
      <c r="BR3" s="104">
        <v>2</v>
      </c>
      <c r="BS3" s="104">
        <v>3</v>
      </c>
      <c r="BT3" s="104">
        <v>4</v>
      </c>
      <c r="BU3" s="104">
        <v>1</v>
      </c>
      <c r="BV3" s="104">
        <v>2</v>
      </c>
      <c r="BW3" s="104">
        <v>3</v>
      </c>
      <c r="BX3" s="107">
        <v>4</v>
      </c>
      <c r="BY3" s="5">
        <v>1</v>
      </c>
      <c r="BZ3" s="108">
        <v>2</v>
      </c>
      <c r="CA3" s="108">
        <v>3</v>
      </c>
      <c r="CB3" s="108">
        <v>4</v>
      </c>
      <c r="CC3" s="108">
        <v>1</v>
      </c>
      <c r="CD3" s="108">
        <v>2</v>
      </c>
      <c r="CE3" s="108">
        <v>3</v>
      </c>
      <c r="CF3" s="108">
        <v>4</v>
      </c>
      <c r="CG3" s="108">
        <v>1</v>
      </c>
      <c r="CH3" s="108">
        <v>2</v>
      </c>
      <c r="CI3" s="108">
        <v>3</v>
      </c>
      <c r="CJ3" s="108">
        <v>4</v>
      </c>
      <c r="CK3" s="108">
        <v>1</v>
      </c>
      <c r="CL3" s="108">
        <v>2</v>
      </c>
      <c r="CM3" s="108">
        <v>3</v>
      </c>
      <c r="CN3" s="108">
        <v>4</v>
      </c>
      <c r="CO3" s="108">
        <v>1</v>
      </c>
    </row>
    <row r="4" customHeight="1" spans="2:94">
      <c r="B4" s="8" t="s">
        <v>177</v>
      </c>
      <c r="C4" s="9" t="s">
        <v>178</v>
      </c>
      <c r="D4" s="10" t="s">
        <v>179</v>
      </c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33"/>
      <c r="R4" s="33"/>
      <c r="S4" s="33"/>
      <c r="T4" s="33"/>
      <c r="U4" s="33"/>
      <c r="V4" s="33"/>
      <c r="W4" s="50"/>
      <c r="X4" s="12"/>
      <c r="Y4" s="12"/>
      <c r="Z4" s="50"/>
      <c r="AA4" s="50"/>
      <c r="AB4" s="73" t="s">
        <v>180</v>
      </c>
      <c r="AC4" s="50"/>
      <c r="AD4" s="50"/>
      <c r="AE4" s="12"/>
      <c r="AF4" s="12"/>
      <c r="AG4" s="12"/>
      <c r="AH4" s="12"/>
      <c r="AI4" s="12"/>
      <c r="AJ4" s="12"/>
      <c r="AK4" s="12"/>
      <c r="AL4" s="12"/>
      <c r="AM4" s="39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94"/>
      <c r="BB4" s="94"/>
      <c r="BC4" s="94"/>
      <c r="BD4" s="94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9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16"/>
    </row>
    <row r="5" customHeight="1" spans="2:93">
      <c r="B5" s="8"/>
      <c r="C5" s="13" t="s">
        <v>181</v>
      </c>
      <c r="D5" s="14" t="s">
        <v>182</v>
      </c>
      <c r="E5" s="15"/>
      <c r="F5" s="16"/>
      <c r="G5" s="12"/>
      <c r="H5" s="12"/>
      <c r="I5" s="12"/>
      <c r="J5" s="12"/>
      <c r="K5" s="12"/>
      <c r="L5" s="12"/>
      <c r="M5" s="33"/>
      <c r="N5" s="33"/>
      <c r="O5" s="37"/>
      <c r="P5" s="38"/>
      <c r="Q5" s="37"/>
      <c r="R5" s="37"/>
      <c r="S5" s="12"/>
      <c r="T5" s="12"/>
      <c r="U5" s="11"/>
      <c r="V5" s="12"/>
      <c r="W5" s="12"/>
      <c r="X5" s="26"/>
      <c r="Y5" s="26"/>
      <c r="Z5" s="74"/>
      <c r="AA5" s="74"/>
      <c r="AB5" s="75" t="s">
        <v>183</v>
      </c>
      <c r="AC5" s="12"/>
      <c r="AD5" s="74"/>
      <c r="AE5" s="26"/>
      <c r="AF5" s="12"/>
      <c r="AG5" s="12"/>
      <c r="AH5" s="12"/>
      <c r="AI5" s="12"/>
      <c r="AJ5" s="12"/>
      <c r="AK5" s="12"/>
      <c r="AL5" s="12"/>
      <c r="AM5" s="39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94"/>
      <c r="BB5" s="94"/>
      <c r="BC5" s="94"/>
      <c r="BD5" s="94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9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</row>
    <row r="6" customHeight="1" spans="2:93">
      <c r="B6" s="8"/>
      <c r="C6" s="13" t="s">
        <v>184</v>
      </c>
      <c r="D6" s="14" t="s">
        <v>182</v>
      </c>
      <c r="E6" s="15"/>
      <c r="F6" s="16"/>
      <c r="G6" s="12"/>
      <c r="H6" s="12"/>
      <c r="I6" s="12"/>
      <c r="J6" s="12"/>
      <c r="K6" s="12"/>
      <c r="L6" s="39"/>
      <c r="M6" s="40"/>
      <c r="N6" s="40"/>
      <c r="O6" s="37"/>
      <c r="P6" s="38"/>
      <c r="Q6" s="37"/>
      <c r="R6" s="37"/>
      <c r="S6" s="51"/>
      <c r="T6" s="52"/>
      <c r="U6" s="52"/>
      <c r="V6" s="53"/>
      <c r="W6" s="54"/>
      <c r="X6" s="54"/>
      <c r="Y6" s="54"/>
      <c r="Z6" s="54"/>
      <c r="AA6" s="74"/>
      <c r="AB6" s="74"/>
      <c r="AC6" s="74"/>
      <c r="AD6" s="74"/>
      <c r="AE6" s="26"/>
      <c r="AF6" s="12"/>
      <c r="AG6" s="12"/>
      <c r="AH6" s="12"/>
      <c r="AI6" s="12"/>
      <c r="AJ6" s="12"/>
      <c r="AK6" s="12"/>
      <c r="AL6" s="12"/>
      <c r="AM6" s="39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94"/>
      <c r="BB6" s="94"/>
      <c r="BC6" s="94"/>
      <c r="BD6" s="94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9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</row>
    <row r="7" customHeight="1" spans="2:93">
      <c r="B7" s="8"/>
      <c r="C7" s="13" t="s">
        <v>185</v>
      </c>
      <c r="D7" s="14" t="s">
        <v>182</v>
      </c>
      <c r="E7" s="15"/>
      <c r="F7" s="16"/>
      <c r="G7" s="12"/>
      <c r="H7" s="12"/>
      <c r="I7" s="12"/>
      <c r="J7" s="12"/>
      <c r="K7" s="12"/>
      <c r="L7" s="12"/>
      <c r="M7" s="41"/>
      <c r="N7" s="40"/>
      <c r="O7" s="42"/>
      <c r="P7" s="42"/>
      <c r="Q7" s="42"/>
      <c r="R7" s="42"/>
      <c r="S7" s="55"/>
      <c r="T7" s="33"/>
      <c r="U7" s="55"/>
      <c r="V7" s="33"/>
      <c r="W7" s="33"/>
      <c r="X7" s="12"/>
      <c r="Y7" s="12"/>
      <c r="Z7" s="12"/>
      <c r="AA7" s="76"/>
      <c r="AB7" s="74"/>
      <c r="AC7" s="74"/>
      <c r="AD7" s="74"/>
      <c r="AE7" s="12"/>
      <c r="AF7" s="12"/>
      <c r="AG7" s="12"/>
      <c r="AH7" s="12"/>
      <c r="AI7" s="12"/>
      <c r="AJ7" s="12"/>
      <c r="AK7" s="12"/>
      <c r="AL7" s="12"/>
      <c r="AM7" s="39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94"/>
      <c r="BB7" s="94"/>
      <c r="BC7" s="94"/>
      <c r="BD7" s="94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9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</row>
    <row r="8" customHeight="1" spans="2:93">
      <c r="B8" s="8"/>
      <c r="C8" s="13" t="s">
        <v>186</v>
      </c>
      <c r="D8" s="14" t="s">
        <v>182</v>
      </c>
      <c r="E8" s="15"/>
      <c r="F8" s="16"/>
      <c r="G8" s="12"/>
      <c r="H8" s="12"/>
      <c r="I8" s="12"/>
      <c r="J8" s="12"/>
      <c r="K8" s="12"/>
      <c r="L8" s="12"/>
      <c r="M8" s="39"/>
      <c r="N8" s="40"/>
      <c r="O8" s="42"/>
      <c r="P8" s="42"/>
      <c r="Q8" s="42"/>
      <c r="R8" s="42"/>
      <c r="S8" s="55"/>
      <c r="T8" s="33"/>
      <c r="U8" s="55"/>
      <c r="V8" s="33"/>
      <c r="W8" s="33"/>
      <c r="X8" s="12"/>
      <c r="Y8" s="12"/>
      <c r="Z8" s="12"/>
      <c r="AA8" s="76"/>
      <c r="AB8" s="12"/>
      <c r="AC8" s="12"/>
      <c r="AD8" s="74"/>
      <c r="AE8" s="12"/>
      <c r="AF8" s="12"/>
      <c r="AG8" s="12"/>
      <c r="AH8" s="12"/>
      <c r="AI8" s="12"/>
      <c r="AJ8" s="12"/>
      <c r="AK8" s="12"/>
      <c r="AL8" s="12"/>
      <c r="AM8" s="39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94"/>
      <c r="BB8" s="94"/>
      <c r="BC8" s="94"/>
      <c r="BD8" s="94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9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</row>
    <row r="9" customHeight="1" spans="2:93">
      <c r="B9" s="8"/>
      <c r="C9" s="13" t="s">
        <v>187</v>
      </c>
      <c r="D9" s="14" t="s">
        <v>182</v>
      </c>
      <c r="E9" s="15"/>
      <c r="F9" s="16"/>
      <c r="G9" s="12"/>
      <c r="H9" s="12"/>
      <c r="I9" s="12"/>
      <c r="J9" s="12"/>
      <c r="K9" s="12"/>
      <c r="L9" s="12"/>
      <c r="M9" s="39"/>
      <c r="N9" s="40"/>
      <c r="O9" s="43"/>
      <c r="P9" s="43"/>
      <c r="Q9" s="43"/>
      <c r="R9" s="43"/>
      <c r="S9" s="55"/>
      <c r="T9" s="33"/>
      <c r="U9" s="55"/>
      <c r="V9" s="33"/>
      <c r="W9" s="33"/>
      <c r="X9" s="33"/>
      <c r="Y9" s="12"/>
      <c r="Z9" s="76"/>
      <c r="AA9" s="76"/>
      <c r="AB9" s="12"/>
      <c r="AC9" s="74"/>
      <c r="AD9" s="74"/>
      <c r="AE9" s="12"/>
      <c r="AF9" s="12"/>
      <c r="AG9" s="12"/>
      <c r="AH9" s="12"/>
      <c r="AI9" s="12"/>
      <c r="AJ9" s="12"/>
      <c r="AK9" s="12"/>
      <c r="AL9" s="12"/>
      <c r="AM9" s="39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94"/>
      <c r="BB9" s="94"/>
      <c r="BC9" s="94"/>
      <c r="BD9" s="94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9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</row>
    <row r="10" customHeight="1" spans="2:93">
      <c r="B10" s="8"/>
      <c r="C10" s="13" t="s">
        <v>188</v>
      </c>
      <c r="D10" s="14" t="s">
        <v>182</v>
      </c>
      <c r="E10" s="15"/>
      <c r="F10" s="16"/>
      <c r="G10" s="12"/>
      <c r="H10" s="12"/>
      <c r="I10" s="12"/>
      <c r="J10" s="12"/>
      <c r="K10" s="12"/>
      <c r="L10" s="12"/>
      <c r="M10" s="39"/>
      <c r="N10" s="40"/>
      <c r="O10" s="43"/>
      <c r="P10" s="43"/>
      <c r="Q10" s="43"/>
      <c r="R10" s="43"/>
      <c r="S10" s="55"/>
      <c r="T10" s="56"/>
      <c r="U10" s="40"/>
      <c r="V10" s="40"/>
      <c r="W10" s="40"/>
      <c r="X10" s="57"/>
      <c r="Y10" s="12"/>
      <c r="Z10" s="76"/>
      <c r="AA10" s="76"/>
      <c r="AB10" s="76"/>
      <c r="AC10" s="12"/>
      <c r="AD10" s="74"/>
      <c r="AE10" s="12"/>
      <c r="AF10" s="12"/>
      <c r="AG10" s="12"/>
      <c r="AH10" s="12"/>
      <c r="AI10" s="12"/>
      <c r="AJ10" s="12"/>
      <c r="AK10" s="12"/>
      <c r="AL10" s="12"/>
      <c r="AM10" s="39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94"/>
      <c r="BB10" s="94"/>
      <c r="BC10" s="94"/>
      <c r="BD10" s="94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9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</row>
    <row r="11" customHeight="1" spans="2:93">
      <c r="B11" s="8"/>
      <c r="C11" s="13" t="s">
        <v>189</v>
      </c>
      <c r="D11" s="14" t="s">
        <v>190</v>
      </c>
      <c r="E11" s="15"/>
      <c r="F11" s="16"/>
      <c r="G11" s="12"/>
      <c r="H11" s="12"/>
      <c r="I11" s="12"/>
      <c r="J11" s="12"/>
      <c r="K11" s="12"/>
      <c r="L11" s="12"/>
      <c r="M11" s="39"/>
      <c r="N11" s="44"/>
      <c r="O11" s="44"/>
      <c r="P11" s="44"/>
      <c r="Q11" s="44"/>
      <c r="R11" s="58"/>
      <c r="S11" s="33"/>
      <c r="T11" s="33"/>
      <c r="U11" s="55"/>
      <c r="V11" s="33"/>
      <c r="W11" s="33"/>
      <c r="X11" s="12"/>
      <c r="Y11" s="12"/>
      <c r="Z11" s="12"/>
      <c r="AA11" s="77"/>
      <c r="AB11" s="77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39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94"/>
      <c r="BB11" s="94"/>
      <c r="BC11" s="94"/>
      <c r="BD11" s="94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9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</row>
    <row r="12" customHeight="1" spans="2:93">
      <c r="B12" s="17"/>
      <c r="C12" s="14" t="s">
        <v>191</v>
      </c>
      <c r="D12" s="10" t="s">
        <v>192</v>
      </c>
      <c r="E12" s="15"/>
      <c r="F12" s="16"/>
      <c r="G12" s="12"/>
      <c r="H12" s="12"/>
      <c r="I12" s="12"/>
      <c r="J12" s="12"/>
      <c r="K12" s="12"/>
      <c r="L12" s="12"/>
      <c r="M12" s="39"/>
      <c r="N12" s="10"/>
      <c r="O12" s="10"/>
      <c r="P12" s="40"/>
      <c r="Q12" s="40"/>
      <c r="R12" s="59"/>
      <c r="S12" s="33"/>
      <c r="T12" s="33"/>
      <c r="U12" s="55"/>
      <c r="V12" s="33"/>
      <c r="W12" s="33"/>
      <c r="X12" s="33"/>
      <c r="Y12" s="33"/>
      <c r="Z12" s="33"/>
      <c r="AA12" s="12"/>
      <c r="AB12" s="78" t="s">
        <v>193</v>
      </c>
      <c r="AC12" s="78"/>
      <c r="AD12" s="78"/>
      <c r="AE12" s="12"/>
      <c r="AF12" s="12"/>
      <c r="AG12" s="12"/>
      <c r="AH12" s="12"/>
      <c r="AI12" s="12"/>
      <c r="AJ12" s="12"/>
      <c r="AK12" s="12"/>
      <c r="AL12" s="12"/>
      <c r="AM12" s="87"/>
      <c r="AN12" s="61"/>
      <c r="AO12" s="61"/>
      <c r="AP12" s="61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94"/>
      <c r="BB12" s="94"/>
      <c r="BC12" s="94"/>
      <c r="BD12" s="94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9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</row>
    <row r="13" customHeight="1" spans="2:93">
      <c r="B13" s="8"/>
      <c r="C13" s="18" t="s">
        <v>194</v>
      </c>
      <c r="D13" s="10" t="s">
        <v>195</v>
      </c>
      <c r="E13" s="15"/>
      <c r="F13" s="16"/>
      <c r="G13" s="12"/>
      <c r="H13" s="12"/>
      <c r="I13" s="12"/>
      <c r="J13" s="12"/>
      <c r="K13" s="12"/>
      <c r="L13" s="12"/>
      <c r="M13" s="39"/>
      <c r="N13" s="10"/>
      <c r="O13" s="10"/>
      <c r="P13" s="40"/>
      <c r="Q13" s="40"/>
      <c r="R13" s="60"/>
      <c r="S13" s="61"/>
      <c r="T13" s="61"/>
      <c r="U13" s="62"/>
      <c r="V13" s="61"/>
      <c r="W13" s="61"/>
      <c r="X13" s="63"/>
      <c r="Y13" s="61"/>
      <c r="Z13" s="61"/>
      <c r="AA13" s="55"/>
      <c r="AB13" s="79"/>
      <c r="AC13" s="80"/>
      <c r="AD13" s="80"/>
      <c r="AE13" s="80"/>
      <c r="AF13" s="80"/>
      <c r="AG13" s="80"/>
      <c r="AH13" s="80"/>
      <c r="AI13" s="80"/>
      <c r="AJ13" s="80"/>
      <c r="AK13" s="33"/>
      <c r="AL13" s="33"/>
      <c r="AM13" s="56"/>
      <c r="AN13" s="40"/>
      <c r="AO13" s="40"/>
      <c r="AP13" s="40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95"/>
      <c r="BB13" s="95"/>
      <c r="BC13" s="95"/>
      <c r="BD13" s="95"/>
      <c r="BE13" s="101"/>
      <c r="BF13" s="101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9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</row>
    <row r="14" customHeight="1" spans="2:93">
      <c r="B14" s="8"/>
      <c r="C14" s="19" t="s">
        <v>196</v>
      </c>
      <c r="D14" s="10" t="s">
        <v>197</v>
      </c>
      <c r="E14" s="15"/>
      <c r="F14" s="16"/>
      <c r="G14" s="12"/>
      <c r="H14" s="12"/>
      <c r="I14" s="12"/>
      <c r="J14" s="12"/>
      <c r="K14" s="12"/>
      <c r="L14" s="12"/>
      <c r="M14" s="39"/>
      <c r="N14" s="10"/>
      <c r="O14" s="10"/>
      <c r="P14" s="40"/>
      <c r="Q14" s="40"/>
      <c r="R14" s="40"/>
      <c r="S14" s="40"/>
      <c r="T14" s="40"/>
      <c r="U14" s="40"/>
      <c r="V14" s="40"/>
      <c r="W14" s="40"/>
      <c r="X14" s="64"/>
      <c r="Y14" s="40"/>
      <c r="Z14" s="40"/>
      <c r="AA14" s="55"/>
      <c r="AB14" s="81"/>
      <c r="AC14" s="82"/>
      <c r="AD14" s="82"/>
      <c r="AE14" s="83"/>
      <c r="AF14" s="84"/>
      <c r="AG14" s="84"/>
      <c r="AH14" s="84"/>
      <c r="AI14" s="84"/>
      <c r="AJ14" s="84"/>
      <c r="AK14" s="33"/>
      <c r="AL14" s="33"/>
      <c r="AM14" s="56"/>
      <c r="AN14" s="40"/>
      <c r="AO14" s="40"/>
      <c r="AP14" s="40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95"/>
      <c r="BB14" s="95"/>
      <c r="BC14" s="95"/>
      <c r="BD14" s="95"/>
      <c r="BE14" s="101"/>
      <c r="BF14" s="101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9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</row>
    <row r="15" ht="27" customHeight="1" spans="2:93">
      <c r="B15" s="20" t="s">
        <v>198</v>
      </c>
      <c r="C15" s="14" t="s">
        <v>199</v>
      </c>
      <c r="D15" s="14" t="s">
        <v>190</v>
      </c>
      <c r="E15" s="15"/>
      <c r="F15" s="16"/>
      <c r="G15" s="12"/>
      <c r="H15" s="12"/>
      <c r="I15" s="12"/>
      <c r="J15" s="12"/>
      <c r="K15" s="12"/>
      <c r="L15" s="12"/>
      <c r="M15" s="39"/>
      <c r="N15" s="40"/>
      <c r="O15" s="10"/>
      <c r="P15" s="10"/>
      <c r="Q15" s="10"/>
      <c r="R15" s="40"/>
      <c r="S15" s="40"/>
      <c r="T15" s="40"/>
      <c r="U15" s="40"/>
      <c r="V15" s="40"/>
      <c r="W15" s="40"/>
      <c r="X15" s="40"/>
      <c r="Y15" s="36"/>
      <c r="Z15" s="61"/>
      <c r="AA15" s="40"/>
      <c r="AB15" s="40"/>
      <c r="AC15" s="40"/>
      <c r="AD15" s="40"/>
      <c r="AE15" s="40"/>
      <c r="AF15" s="85"/>
      <c r="AG15" s="85"/>
      <c r="AH15" s="85"/>
      <c r="AI15" s="85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94"/>
      <c r="BE15" s="94"/>
      <c r="BF15" s="94"/>
      <c r="BG15" s="94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9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</row>
    <row r="16" ht="27" customHeight="1" spans="2:93">
      <c r="B16" s="21"/>
      <c r="C16" s="22" t="s">
        <v>200</v>
      </c>
      <c r="D16" s="14"/>
      <c r="E16" s="15"/>
      <c r="F16" s="16"/>
      <c r="G16" s="12"/>
      <c r="H16" s="12"/>
      <c r="I16" s="12"/>
      <c r="J16" s="12"/>
      <c r="K16" s="12"/>
      <c r="L16" s="12"/>
      <c r="M16" s="39"/>
      <c r="N16" s="40"/>
      <c r="O16" s="10"/>
      <c r="P16" s="10"/>
      <c r="Q16" s="10"/>
      <c r="R16" s="40"/>
      <c r="S16" s="40"/>
      <c r="T16" s="40"/>
      <c r="U16" s="40"/>
      <c r="V16" s="40"/>
      <c r="W16" s="40"/>
      <c r="X16" s="40"/>
      <c r="Y16" s="36"/>
      <c r="Z16" s="61"/>
      <c r="AA16" s="40"/>
      <c r="AB16" s="40"/>
      <c r="AC16" s="40"/>
      <c r="AD16" s="40"/>
      <c r="AE16" s="40"/>
      <c r="AF16" s="43"/>
      <c r="AG16" s="43"/>
      <c r="AH16" s="43"/>
      <c r="AI16" s="40"/>
      <c r="AJ16" s="88"/>
      <c r="AK16" s="88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94"/>
      <c r="BE16" s="94"/>
      <c r="BF16" s="94"/>
      <c r="BG16" s="94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9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</row>
    <row r="17" ht="27" customHeight="1" spans="2:93">
      <c r="B17" s="23"/>
      <c r="C17" s="14" t="s">
        <v>201</v>
      </c>
      <c r="D17" s="14" t="s">
        <v>190</v>
      </c>
      <c r="E17" s="15"/>
      <c r="F17" s="16"/>
      <c r="G17" s="12"/>
      <c r="H17" s="12"/>
      <c r="I17" s="12"/>
      <c r="J17" s="12"/>
      <c r="K17" s="12"/>
      <c r="L17" s="12"/>
      <c r="M17" s="39"/>
      <c r="N17" s="40"/>
      <c r="O17" s="10"/>
      <c r="P17" s="10"/>
      <c r="Q17" s="10"/>
      <c r="R17" s="40"/>
      <c r="S17" s="40"/>
      <c r="T17" s="40"/>
      <c r="U17" s="40"/>
      <c r="V17" s="40"/>
      <c r="W17" s="40"/>
      <c r="X17" s="40"/>
      <c r="Y17" s="36"/>
      <c r="Z17" s="61"/>
      <c r="AA17" s="40"/>
      <c r="AB17" s="40"/>
      <c r="AC17" s="40"/>
      <c r="AD17" s="40"/>
      <c r="AE17" s="40"/>
      <c r="AF17" s="43"/>
      <c r="AG17" s="43"/>
      <c r="AH17" s="43"/>
      <c r="AI17" s="40"/>
      <c r="AJ17" s="88"/>
      <c r="AK17" s="88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94"/>
      <c r="BE17" s="94"/>
      <c r="BF17" s="94"/>
      <c r="BG17" s="94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9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</row>
    <row r="18" ht="27" customHeight="1" spans="2:93">
      <c r="B18" s="23"/>
      <c r="C18" s="14" t="s">
        <v>202</v>
      </c>
      <c r="D18" s="14" t="s">
        <v>190</v>
      </c>
      <c r="E18" s="15"/>
      <c r="F18" s="16"/>
      <c r="G18" s="12"/>
      <c r="H18" s="12"/>
      <c r="I18" s="12"/>
      <c r="J18" s="12"/>
      <c r="K18" s="12"/>
      <c r="L18" s="12"/>
      <c r="M18" s="39"/>
      <c r="N18" s="40"/>
      <c r="O18" s="10"/>
      <c r="P18" s="10"/>
      <c r="Q18" s="10"/>
      <c r="R18" s="40"/>
      <c r="S18" s="40"/>
      <c r="T18" s="40"/>
      <c r="U18" s="40"/>
      <c r="V18" s="40"/>
      <c r="W18" s="40"/>
      <c r="X18" s="40"/>
      <c r="Y18" s="36"/>
      <c r="Z18" s="61"/>
      <c r="AA18" s="40"/>
      <c r="AB18" s="40"/>
      <c r="AC18" s="40"/>
      <c r="AD18" s="40"/>
      <c r="AE18" s="40"/>
      <c r="AF18" s="43"/>
      <c r="AG18" s="43"/>
      <c r="AH18" s="43"/>
      <c r="AI18" s="40"/>
      <c r="AJ18" s="40"/>
      <c r="AK18" s="40"/>
      <c r="AL18" s="88"/>
      <c r="AM18" s="88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94"/>
      <c r="BE18" s="94"/>
      <c r="BF18" s="94"/>
      <c r="BG18" s="94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9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</row>
    <row r="19" customHeight="1" spans="2:93">
      <c r="B19" s="23"/>
      <c r="C19" s="14" t="s">
        <v>203</v>
      </c>
      <c r="D19" s="14" t="s">
        <v>190</v>
      </c>
      <c r="E19" s="15"/>
      <c r="F19" s="16"/>
      <c r="G19" s="12"/>
      <c r="H19" s="12"/>
      <c r="I19" s="12"/>
      <c r="J19" s="12"/>
      <c r="K19" s="12"/>
      <c r="L19" s="12"/>
      <c r="M19" s="39"/>
      <c r="N19" s="40"/>
      <c r="O19" s="10"/>
      <c r="P19" s="10"/>
      <c r="Q19" s="10"/>
      <c r="R19" s="40"/>
      <c r="S19" s="10"/>
      <c r="T19" s="10"/>
      <c r="U19" s="10"/>
      <c r="V19" s="10"/>
      <c r="W19" s="10"/>
      <c r="X19" s="10"/>
      <c r="Y19" s="10"/>
      <c r="Z19" s="10"/>
      <c r="AA19" s="86"/>
      <c r="AB19" s="86"/>
      <c r="AC19" s="86"/>
      <c r="AD19" s="86"/>
      <c r="AE19" s="86"/>
      <c r="AF19" s="86"/>
      <c r="AG19" s="86"/>
      <c r="AH19" s="86"/>
      <c r="AI19" s="89"/>
      <c r="AJ19" s="89"/>
      <c r="AK19" s="89"/>
      <c r="AL19" s="89"/>
      <c r="AM19" s="89"/>
      <c r="AN19" s="90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46"/>
      <c r="BB19" s="46"/>
      <c r="BC19" s="46"/>
      <c r="BD19" s="46"/>
      <c r="BE19" s="46"/>
      <c r="BF19" s="41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94"/>
      <c r="BU19" s="94"/>
      <c r="BV19" s="94"/>
      <c r="BW19" s="94"/>
      <c r="BX19" s="109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</row>
    <row r="20" ht="30.6" customHeight="1" spans="2:93">
      <c r="B20" s="23"/>
      <c r="C20" s="24" t="s">
        <v>204</v>
      </c>
      <c r="D20" s="24" t="s">
        <v>205</v>
      </c>
      <c r="E20" s="25"/>
      <c r="F20" s="26"/>
      <c r="G20" s="26"/>
      <c r="H20" s="26"/>
      <c r="I20" s="26"/>
      <c r="J20" s="26"/>
      <c r="K20" s="26"/>
      <c r="L20" s="26"/>
      <c r="M20" s="45"/>
      <c r="N20" s="43"/>
      <c r="O20" s="10"/>
      <c r="P20" s="10"/>
      <c r="Q20" s="10"/>
      <c r="R20" s="4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34"/>
      <c r="AG20" s="34"/>
      <c r="AH20" s="34"/>
      <c r="AI20" s="34"/>
      <c r="AJ20" s="34"/>
      <c r="AK20" s="34"/>
      <c r="AL20" s="34"/>
      <c r="AM20" s="34"/>
      <c r="AN20" s="91"/>
      <c r="AO20" s="74"/>
      <c r="AP20" s="74"/>
      <c r="AQ20" s="74"/>
      <c r="AR20" s="74"/>
      <c r="AS20" s="74"/>
      <c r="AT20" s="74"/>
      <c r="AU20" s="74"/>
      <c r="AV20" s="74"/>
      <c r="AW20" s="12"/>
      <c r="AX20" s="33"/>
      <c r="AY20" s="96"/>
      <c r="AZ20" s="96"/>
      <c r="BA20" s="96"/>
      <c r="BB20" s="96"/>
      <c r="BC20" s="96"/>
      <c r="BD20" s="33"/>
      <c r="BE20" s="33"/>
      <c r="BF20" s="39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94"/>
      <c r="BU20" s="94"/>
      <c r="BV20" s="94"/>
      <c r="BW20" s="94"/>
      <c r="BX20" s="109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</row>
    <row r="21" ht="30.6" customHeight="1" spans="2:93">
      <c r="B21" s="23"/>
      <c r="C21" s="14" t="s">
        <v>206</v>
      </c>
      <c r="D21" s="14" t="s">
        <v>190</v>
      </c>
      <c r="E21" s="15"/>
      <c r="F21" s="16"/>
      <c r="G21" s="12"/>
      <c r="H21" s="12"/>
      <c r="I21" s="12"/>
      <c r="J21" s="12"/>
      <c r="K21" s="12"/>
      <c r="L21" s="12"/>
      <c r="M21" s="39"/>
      <c r="N21" s="40"/>
      <c r="O21" s="10"/>
      <c r="P21" s="10"/>
      <c r="Q21" s="10"/>
      <c r="R21" s="4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40"/>
      <c r="AJ21" s="40"/>
      <c r="AK21" s="40"/>
      <c r="AL21" s="40"/>
      <c r="AM21" s="40"/>
      <c r="AN21" s="11"/>
      <c r="AO21" s="12"/>
      <c r="AP21" s="12"/>
      <c r="AQ21" s="12"/>
      <c r="AR21" s="12"/>
      <c r="AS21" s="12"/>
      <c r="AT21" s="12"/>
      <c r="AU21" s="12"/>
      <c r="AV21" s="12"/>
      <c r="AW21" s="39"/>
      <c r="AX21" s="40"/>
      <c r="AY21" s="97"/>
      <c r="AZ21" s="97"/>
      <c r="BA21" s="97"/>
      <c r="BB21" s="97"/>
      <c r="BC21" s="97"/>
      <c r="BD21" s="97"/>
      <c r="BE21" s="97"/>
      <c r="BF21" s="102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94"/>
      <c r="BU21" s="94"/>
      <c r="BV21" s="94"/>
      <c r="BW21" s="94"/>
      <c r="BX21" s="109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</row>
    <row r="22" ht="30.6" customHeight="1" spans="2:93">
      <c r="B22" s="23"/>
      <c r="C22" s="14" t="s">
        <v>207</v>
      </c>
      <c r="D22" s="14" t="s">
        <v>208</v>
      </c>
      <c r="E22" s="15"/>
      <c r="F22" s="16"/>
      <c r="G22" s="12"/>
      <c r="H22" s="12"/>
      <c r="I22" s="12"/>
      <c r="J22" s="12"/>
      <c r="K22" s="12"/>
      <c r="L22" s="12"/>
      <c r="M22" s="39"/>
      <c r="N22" s="40"/>
      <c r="O22" s="10"/>
      <c r="P22" s="10"/>
      <c r="Q22" s="10"/>
      <c r="R22" s="4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40"/>
      <c r="AJ22" s="40"/>
      <c r="AK22" s="40"/>
      <c r="AL22" s="40"/>
      <c r="AM22" s="40"/>
      <c r="AN22" s="11"/>
      <c r="AO22" s="12"/>
      <c r="AP22" s="12"/>
      <c r="AQ22" s="12"/>
      <c r="AR22" s="12"/>
      <c r="AS22" s="12"/>
      <c r="AT22" s="12"/>
      <c r="AU22" s="12"/>
      <c r="AV22" s="12"/>
      <c r="AW22" s="39"/>
      <c r="AX22" s="40"/>
      <c r="AY22" s="43"/>
      <c r="AZ22" s="43"/>
      <c r="BA22" s="43"/>
      <c r="BB22" s="43"/>
      <c r="BC22" s="43"/>
      <c r="BD22" s="43"/>
      <c r="BE22" s="97"/>
      <c r="BF22" s="97"/>
      <c r="BG22" s="97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94"/>
      <c r="BU22" s="94"/>
      <c r="BV22" s="94"/>
      <c r="BW22" s="94"/>
      <c r="BX22" s="109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</row>
    <row r="23" customHeight="1" spans="2:93">
      <c r="B23" s="23"/>
      <c r="C23" s="14" t="s">
        <v>209</v>
      </c>
      <c r="D23" s="14" t="s">
        <v>190</v>
      </c>
      <c r="E23" s="15"/>
      <c r="F23" s="16"/>
      <c r="G23" s="12"/>
      <c r="H23" s="12"/>
      <c r="I23" s="12"/>
      <c r="J23" s="12"/>
      <c r="K23" s="12"/>
      <c r="L23" s="12"/>
      <c r="M23" s="39"/>
      <c r="N23" s="40"/>
      <c r="O23" s="10"/>
      <c r="P23" s="10"/>
      <c r="Q23" s="10"/>
      <c r="R23" s="4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40"/>
      <c r="AJ23" s="40"/>
      <c r="AK23" s="40"/>
      <c r="AL23" s="40"/>
      <c r="AM23" s="40"/>
      <c r="AN23" s="11"/>
      <c r="AO23" s="12"/>
      <c r="AP23" s="12"/>
      <c r="AQ23" s="12"/>
      <c r="AR23" s="12"/>
      <c r="AS23" s="12"/>
      <c r="AT23" s="12"/>
      <c r="AU23" s="12"/>
      <c r="AV23" s="12"/>
      <c r="AW23" s="39"/>
      <c r="AX23" s="44"/>
      <c r="AY23" s="44"/>
      <c r="AZ23" s="44"/>
      <c r="BA23" s="44"/>
      <c r="BB23" s="44"/>
      <c r="BC23" s="98"/>
      <c r="BD23" s="99"/>
      <c r="BE23" s="103"/>
      <c r="BF23" s="45"/>
      <c r="BG23" s="69"/>
      <c r="BH23" s="69"/>
      <c r="BI23" s="69"/>
      <c r="BJ23" s="69"/>
      <c r="BK23" s="69"/>
      <c r="BL23" s="69"/>
      <c r="BM23" s="69"/>
      <c r="BN23" s="69"/>
      <c r="BO23" s="40"/>
      <c r="BP23" s="40"/>
      <c r="BQ23" s="40"/>
      <c r="BR23" s="40"/>
      <c r="BS23" s="40"/>
      <c r="BT23" s="94"/>
      <c r="BU23" s="94"/>
      <c r="BV23" s="94"/>
      <c r="BW23" s="94"/>
      <c r="BX23" s="109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</row>
    <row r="24" customHeight="1" spans="2:93">
      <c r="B24" s="23"/>
      <c r="C24" s="14" t="s">
        <v>210</v>
      </c>
      <c r="D24" s="14" t="s">
        <v>211</v>
      </c>
      <c r="E24" s="27"/>
      <c r="F24" s="28"/>
      <c r="G24" s="12"/>
      <c r="H24" s="12"/>
      <c r="I24" s="12"/>
      <c r="J24" s="12"/>
      <c r="K24" s="12"/>
      <c r="L24" s="12"/>
      <c r="M24" s="39"/>
      <c r="N24" s="40"/>
      <c r="O24" s="10"/>
      <c r="P24" s="10"/>
      <c r="Q24" s="10"/>
      <c r="R24" s="4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40"/>
      <c r="AJ24" s="40"/>
      <c r="AK24" s="40"/>
      <c r="AL24" s="40"/>
      <c r="AM24" s="40"/>
      <c r="AN24" s="11"/>
      <c r="AO24" s="12"/>
      <c r="AP24" s="12"/>
      <c r="AQ24" s="12"/>
      <c r="AR24" s="12"/>
      <c r="AS24" s="12"/>
      <c r="AT24" s="12"/>
      <c r="AU24" s="12"/>
      <c r="AV24" s="12"/>
      <c r="AW24" s="12"/>
      <c r="AX24" s="46"/>
      <c r="AY24" s="46"/>
      <c r="AZ24" s="46"/>
      <c r="BA24" s="46"/>
      <c r="BB24" s="46"/>
      <c r="BC24" s="46"/>
      <c r="BD24" s="12"/>
      <c r="BE24" s="12"/>
      <c r="BF24" s="39"/>
      <c r="BG24" s="40"/>
      <c r="BH24" s="40"/>
      <c r="BI24" s="39"/>
      <c r="BJ24" s="43"/>
      <c r="BK24" s="43"/>
      <c r="BL24" s="1"/>
      <c r="BM24" s="40"/>
      <c r="BN24" s="40"/>
      <c r="BO24" s="105"/>
      <c r="BP24" s="105"/>
      <c r="BQ24" s="40"/>
      <c r="BR24" s="40"/>
      <c r="BS24" s="40"/>
      <c r="BT24" s="94"/>
      <c r="BU24" s="94"/>
      <c r="BV24" s="94"/>
      <c r="BW24" s="94"/>
      <c r="BX24" s="109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</row>
    <row r="25" customHeight="1" spans="2:93">
      <c r="B25" s="29"/>
      <c r="C25" s="1" t="s">
        <v>212</v>
      </c>
      <c r="D25" s="14" t="s">
        <v>211</v>
      </c>
      <c r="E25" s="15"/>
      <c r="F25" s="16"/>
      <c r="G25" s="11"/>
      <c r="H25" s="12"/>
      <c r="I25" s="12"/>
      <c r="J25" s="12"/>
      <c r="K25" s="12"/>
      <c r="L25" s="12"/>
      <c r="M25" s="39"/>
      <c r="N25" s="40"/>
      <c r="O25" s="10"/>
      <c r="P25" s="10"/>
      <c r="Q25" s="10"/>
      <c r="R25" s="4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40"/>
      <c r="AJ25" s="40"/>
      <c r="AK25" s="40"/>
      <c r="AL25" s="40"/>
      <c r="AM25" s="40"/>
      <c r="AN25" s="11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39"/>
      <c r="BG25" s="40"/>
      <c r="BH25" s="40"/>
      <c r="BI25" s="40"/>
      <c r="BJ25" s="40"/>
      <c r="BK25" s="40"/>
      <c r="BL25" s="43"/>
      <c r="BM25" s="43"/>
      <c r="BN25" s="43"/>
      <c r="BO25" s="43"/>
      <c r="BP25" s="43"/>
      <c r="BQ25" s="106"/>
      <c r="BR25" s="106"/>
      <c r="BS25" s="106"/>
      <c r="BT25" s="106"/>
      <c r="BU25" s="106"/>
      <c r="BV25" s="106"/>
      <c r="BW25" s="106"/>
      <c r="BX25" s="106"/>
      <c r="BY25" s="110"/>
      <c r="BZ25" s="110"/>
      <c r="CA25" s="110"/>
      <c r="CB25" s="11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</row>
    <row r="26" customHeight="1" spans="2:93">
      <c r="B26" s="30" t="s">
        <v>213</v>
      </c>
      <c r="C26" s="10" t="s">
        <v>214</v>
      </c>
      <c r="D26" s="10" t="s">
        <v>215</v>
      </c>
      <c r="E26" s="15"/>
      <c r="F26" s="16"/>
      <c r="G26" s="12"/>
      <c r="H26" s="12"/>
      <c r="I26" s="12"/>
      <c r="J26" s="12"/>
      <c r="K26" s="12"/>
      <c r="L26" s="12"/>
      <c r="M26" s="12"/>
      <c r="N26" s="46"/>
      <c r="O26" s="46"/>
      <c r="P26" s="47"/>
      <c r="Q26" s="47"/>
      <c r="R26" s="65"/>
      <c r="S26" s="46"/>
      <c r="T26" s="46"/>
      <c r="U26" s="46"/>
      <c r="V26" s="6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12"/>
      <c r="AJ26" s="12"/>
      <c r="AK26" s="12"/>
      <c r="AL26" s="12"/>
      <c r="AM26" s="39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94"/>
      <c r="BB26" s="94"/>
      <c r="BC26" s="94"/>
      <c r="BD26" s="94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9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</row>
    <row r="27" customHeight="1" spans="2:93">
      <c r="B27" s="8"/>
      <c r="C27" s="14" t="s">
        <v>216</v>
      </c>
      <c r="D27" s="10" t="s">
        <v>215</v>
      </c>
      <c r="E27" s="31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48"/>
      <c r="Q27" s="48"/>
      <c r="R27" s="67"/>
      <c r="S27" s="67"/>
      <c r="T27" s="67"/>
      <c r="U27" s="67"/>
      <c r="V27" s="68"/>
      <c r="W27" s="67"/>
      <c r="X27" s="67"/>
      <c r="Y27" s="67"/>
      <c r="Z27" s="67"/>
      <c r="AA27" s="67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87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100"/>
      <c r="BV27" s="100"/>
      <c r="BW27" s="100"/>
      <c r="BX27" s="109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</row>
    <row r="28" customHeight="1" spans="2:93">
      <c r="B28" s="8"/>
      <c r="C28" s="34" t="s">
        <v>217</v>
      </c>
      <c r="D28" s="10" t="s">
        <v>215</v>
      </c>
      <c r="E28" s="10"/>
      <c r="F28" s="10"/>
      <c r="G28" s="10"/>
      <c r="H28" s="10"/>
      <c r="I28" s="10"/>
      <c r="J28" s="10"/>
      <c r="K28" s="10"/>
      <c r="L28" s="10"/>
      <c r="M28" s="49"/>
      <c r="N28" s="10"/>
      <c r="O28" s="10"/>
      <c r="P28" s="10"/>
      <c r="Q28" s="10"/>
      <c r="R28" s="10"/>
      <c r="S28" s="49"/>
      <c r="T28" s="49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9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</row>
    <row r="29" customHeight="1" spans="2:93">
      <c r="B29" s="8"/>
      <c r="C29" s="14" t="s">
        <v>218</v>
      </c>
      <c r="D29" s="10" t="s">
        <v>215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69"/>
      <c r="U29" s="69"/>
      <c r="V29" s="69"/>
      <c r="W29" s="69"/>
      <c r="X29" s="70"/>
      <c r="Y29" s="70"/>
      <c r="Z29" s="70"/>
      <c r="AA29" s="70"/>
      <c r="AB29" s="70"/>
      <c r="AC29" s="70"/>
      <c r="AD29" s="70"/>
      <c r="AE29" s="7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9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</row>
    <row r="30" customHeight="1" spans="2:93">
      <c r="B30" s="8"/>
      <c r="C30" s="35" t="s">
        <v>219</v>
      </c>
      <c r="D30" s="36" t="s">
        <v>215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71"/>
      <c r="R30" s="72"/>
      <c r="S30" s="72"/>
      <c r="T30" s="72"/>
      <c r="U30" s="72"/>
      <c r="V30" s="72"/>
      <c r="W30" s="72"/>
      <c r="X30" s="71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0"/>
      <c r="BV30" s="100"/>
      <c r="BW30" s="100"/>
      <c r="BX30" s="109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</row>
    <row r="31" customHeight="1" spans="2:93">
      <c r="B31" s="20" t="s">
        <v>220</v>
      </c>
      <c r="C31" s="14" t="s">
        <v>221</v>
      </c>
      <c r="D31" s="10" t="s">
        <v>222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49"/>
      <c r="AK31" s="49"/>
      <c r="AL31" s="49"/>
      <c r="AM31" s="49"/>
      <c r="AN31" s="49"/>
      <c r="AO31" s="49"/>
      <c r="AP31" s="49"/>
      <c r="AQ31" s="49"/>
      <c r="AR31" s="10"/>
      <c r="AS31" s="10"/>
      <c r="AT31" s="10"/>
      <c r="AU31" s="10"/>
      <c r="AV31" s="10"/>
      <c r="AW31" s="10"/>
      <c r="AX31" s="10"/>
      <c r="AY31" s="10"/>
      <c r="AZ31" s="1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9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</row>
    <row r="32" customHeight="1" spans="2:93">
      <c r="B32" s="23"/>
      <c r="C32" s="10" t="s">
        <v>223</v>
      </c>
      <c r="D32" s="10" t="s">
        <v>224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11"/>
      <c r="BY32" s="112"/>
      <c r="BZ32" s="100"/>
      <c r="CA32" s="100"/>
      <c r="CB32" s="100"/>
      <c r="CC32" s="114"/>
      <c r="CD32" s="114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</row>
    <row r="33" customHeight="1" spans="2:93">
      <c r="B33" s="23"/>
      <c r="C33" s="24" t="s">
        <v>225</v>
      </c>
      <c r="D33" s="10" t="s">
        <v>224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93"/>
      <c r="AS33" s="93"/>
      <c r="AT33" s="10"/>
      <c r="AU33" s="10"/>
      <c r="AV33" s="10"/>
      <c r="AW33" s="10"/>
      <c r="AX33" s="10"/>
      <c r="AY33" s="10"/>
      <c r="AZ33" s="1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13"/>
      <c r="BY33" s="10"/>
      <c r="BZ33" s="100"/>
      <c r="CA33" s="100"/>
      <c r="CB33" s="100"/>
      <c r="CC33" s="100"/>
      <c r="CD33" s="100"/>
      <c r="CE33" s="93"/>
      <c r="CF33" s="93"/>
      <c r="CG33" s="93"/>
      <c r="CH33" s="93"/>
      <c r="CI33" s="93"/>
      <c r="CJ33" s="93"/>
      <c r="CK33" s="100"/>
      <c r="CL33" s="100"/>
      <c r="CM33" s="100"/>
      <c r="CN33" s="100"/>
      <c r="CO33" s="100"/>
    </row>
    <row r="34" customHeight="1" spans="2:93">
      <c r="B34" s="23"/>
      <c r="C34" s="24" t="s">
        <v>226</v>
      </c>
      <c r="D34" s="10" t="s">
        <v>215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9"/>
      <c r="BY34" s="10"/>
      <c r="BZ34" s="100"/>
      <c r="CA34" s="100"/>
      <c r="CB34" s="100"/>
      <c r="CC34" s="100"/>
      <c r="CD34" s="100"/>
      <c r="CE34" s="100"/>
      <c r="CF34" s="10"/>
      <c r="CG34" s="100"/>
      <c r="CH34" s="100"/>
      <c r="CI34" s="100"/>
      <c r="CJ34" s="100"/>
      <c r="CK34" s="117"/>
      <c r="CL34" s="117"/>
      <c r="CM34" s="117"/>
      <c r="CN34" s="100"/>
      <c r="CO34" s="100"/>
    </row>
    <row r="35" customHeight="1" spans="2:93">
      <c r="B35" s="23"/>
      <c r="C35" s="34" t="s">
        <v>227</v>
      </c>
      <c r="D35" s="10" t="s">
        <v>215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9"/>
      <c r="BY35" s="10"/>
      <c r="BZ35" s="100"/>
      <c r="CA35" s="100"/>
      <c r="CB35" s="100"/>
      <c r="CC35" s="100"/>
      <c r="CD35" s="100"/>
      <c r="CE35" s="100"/>
      <c r="CF35" s="10"/>
      <c r="CG35" s="100"/>
      <c r="CH35" s="100"/>
      <c r="CI35" s="100"/>
      <c r="CJ35" s="100"/>
      <c r="CK35" s="100"/>
      <c r="CL35" s="100"/>
      <c r="CM35" s="100"/>
      <c r="CN35" s="118"/>
      <c r="CO35" s="118"/>
    </row>
  </sheetData>
  <mergeCells count="29">
    <mergeCell ref="C1:BT1"/>
    <mergeCell ref="B2:C2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BI2:BL2"/>
    <mergeCell ref="BM2:BP2"/>
    <mergeCell ref="BQ2:BT2"/>
    <mergeCell ref="BU2:BX2"/>
    <mergeCell ref="BY2:CB2"/>
    <mergeCell ref="CC2:CF2"/>
    <mergeCell ref="CG2:CJ2"/>
    <mergeCell ref="CK2:CN2"/>
    <mergeCell ref="B3:C3"/>
    <mergeCell ref="B4:B12"/>
    <mergeCell ref="B15:B25"/>
    <mergeCell ref="B26:B30"/>
    <mergeCell ref="B31:B3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14"/>
  <sheetViews>
    <sheetView workbookViewId="0">
      <selection activeCell="C14" sqref="C14"/>
    </sheetView>
  </sheetViews>
  <sheetFormatPr defaultColWidth="9" defaultRowHeight="15.5" outlineLevelCol="1"/>
  <cols>
    <col min="2" max="2" width="38.125" customWidth="1"/>
  </cols>
  <sheetData>
    <row r="3" spans="2:2">
      <c r="B3" t="s">
        <v>228</v>
      </c>
    </row>
    <row r="4" spans="2:2">
      <c r="B4" t="s">
        <v>229</v>
      </c>
    </row>
    <row r="5" spans="2:2">
      <c r="B5" t="s">
        <v>230</v>
      </c>
    </row>
    <row r="6" spans="2:2">
      <c r="B6" t="s">
        <v>231</v>
      </c>
    </row>
    <row r="7" spans="2:2">
      <c r="B7" t="s">
        <v>232</v>
      </c>
    </row>
    <row r="8" spans="2:2">
      <c r="B8" t="s">
        <v>233</v>
      </c>
    </row>
    <row r="9" spans="2:2">
      <c r="B9" t="s">
        <v>234</v>
      </c>
    </row>
    <row r="10" spans="2:2">
      <c r="B10" t="s">
        <v>235</v>
      </c>
    </row>
    <row r="11" spans="2:2">
      <c r="B11" t="s">
        <v>236</v>
      </c>
    </row>
    <row r="12" spans="2:2">
      <c r="B12" t="s">
        <v>237</v>
      </c>
    </row>
    <row r="13" spans="2:2">
      <c r="B13" t="s">
        <v>238</v>
      </c>
    </row>
    <row r="14" spans="2:2">
      <c r="B14" t="s">
        <v>239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设备投资概算评估 (集团内部-Sandwich)</vt:lpstr>
      <vt:lpstr>反馈认证费用</vt:lpstr>
      <vt:lpstr>周期时间 (集团内部-Sandwich)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李涛</cp:lastModifiedBy>
  <dcterms:created xsi:type="dcterms:W3CDTF">2006-09-16T00:00:00Z</dcterms:created>
  <dcterms:modified xsi:type="dcterms:W3CDTF">2026-01-28T07:37:57Z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9FB378AD5C084D9AB1799891347C20BA_13</vt:lpwstr>
  </property>
  <property fmtid="{D5CDD505-2E9C-101B-9397-08002B2CF9AE}" pid="3" name="KSOProductBuildVer">
    <vt:lpwstr>1033-12.2.0.23196</vt:lpwstr>
  </property>
</Properties>
</file>